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<sst xmlns="http://schemas.openxmlformats.org/spreadsheetml/2006/main" count="41" uniqueCount="26">
  <si>
    <t>Payments</t>
  </si>
  <si>
    <t>Deductions</t>
  </si>
  <si>
    <t>Additional Daily payments</t>
  </si>
  <si>
    <t>EE #</t>
  </si>
  <si>
    <t>Currency for all elements</t>
  </si>
  <si>
    <t>Monthly Basic Salary</t>
  </si>
  <si>
    <t>Monthly Transport Allowance</t>
  </si>
  <si>
    <t>Monthly Housing Allowance</t>
  </si>
  <si>
    <t>Monthly Geographic Coeffient</t>
  </si>
  <si>
    <t xml:space="preserve">Monthly Relocation </t>
  </si>
  <si>
    <t>STIP Bonus</t>
  </si>
  <si>
    <t>Monthly EMBO</t>
  </si>
  <si>
    <t>Monthly EE Pension Contribution</t>
  </si>
  <si>
    <t>EE contribution</t>
  </si>
  <si>
    <t>Monthly ER Pension Contribution</t>
  </si>
  <si>
    <t>ER % contribution</t>
  </si>
  <si>
    <t>Field Bonus / Job Bonus in Country</t>
  </si>
  <si>
    <t>Rotation Premium - In country</t>
  </si>
  <si>
    <t>Standby Rate - In country</t>
  </si>
  <si>
    <t>Wellsite Rate In country</t>
  </si>
  <si>
    <t/>
  </si>
  <si>
    <t>EUR</t>
  </si>
  <si>
    <t>USD</t>
  </si>
  <si>
    <t>$420</t>
  </si>
  <si>
    <t>$375</t>
  </si>
  <si>
    <t>XAF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</si>
</sst>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%"/>
    <numFmt numFmtId="165" formatCode="#,##0.00%"/>
    <numFmt numFmtId="166" formatCode="$#,##0_);($#,##0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 wrapText="1"/>
    </xf>
    <xf xfId="0" numFmtId="165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2" applyBorder="1" fontId="1" applyFont="1" fillId="2" applyFill="1" quotePrefix="1" applyAlignment="1">
      <alignment horizontal="center" wrapText="1"/>
    </xf>
    <xf xfId="0" numFmtId="3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4" applyNumberFormat="1" borderId="3" applyBorder="1" fontId="1" applyFont="1" fillId="0" applyAlignment="1">
      <alignment horizontal="right"/>
    </xf>
    <xf xfId="0" numFmtId="164" applyNumberFormat="1" borderId="3" applyBorder="1" fontId="1" applyFont="1" fillId="0" applyAlignment="1">
      <alignment horizontal="right"/>
    </xf>
    <xf xfId="0" numFmtId="165" applyNumberFormat="1" borderId="3" applyBorder="1" fontId="1" applyFont="1" fillId="0" applyAlignment="1">
      <alignment horizontal="right"/>
    </xf>
    <xf xfId="0" numFmtId="3" applyNumberFormat="1" borderId="3" applyBorder="1" fontId="1" applyFont="1" fillId="2" applyFill="1" applyAlignment="1">
      <alignment horizontal="left"/>
    </xf>
    <xf xfId="0" numFmtId="4" applyNumberFormat="1" borderId="3" applyBorder="1" fontId="1" applyFont="1" fillId="2" applyFill="1" applyAlignment="1">
      <alignment horizontal="right"/>
    </xf>
    <xf xfId="0" numFmtId="3" applyNumberFormat="1" borderId="3" applyBorder="1" fontId="1" applyFont="1" fillId="0" applyAlignment="1">
      <alignment horizontal="right"/>
    </xf>
    <xf xfId="0" numFmtId="166" applyNumberFormat="1" borderId="3" applyBorder="1" fontId="1" applyFont="1" fillId="0" applyAlignment="1">
      <alignment horizontal="right"/>
    </xf>
    <xf xfId="0" numFmtId="4" applyNumberFormat="1" borderId="3" applyBorder="1" fontId="1" applyFont="1" fillId="2" applyFill="1" applyAlignment="1">
      <alignment horizontal="right" wrapText="1"/>
    </xf>
    <xf xfId="0" numFmtId="164" applyNumberFormat="1" borderId="3" applyBorder="1" fontId="1" applyFont="1" fillId="0" applyAlignment="1">
      <alignment horizontal="left"/>
    </xf>
    <xf xfId="0" numFmtId="164" applyNumberFormat="1" borderId="3" applyBorder="1" fontId="1" applyFont="1" fillId="2" applyFill="1" applyAlignment="1">
      <alignment horizontal="right"/>
    </xf>
    <xf xfId="0" numFmtId="165" applyNumberFormat="1" borderId="3" applyBorder="1" fontId="1" applyFont="1" fillId="2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0"/>
  <sheetViews>
    <sheetView workbookViewId="0" tabSelected="1"/>
  </sheetViews>
  <sheetFormatPr defaultRowHeight="15" x14ac:dyDescent="0.25"/>
  <cols>
    <col min="1" max="1" style="30" width="13.576428571428572" customWidth="1" bestFit="1"/>
    <col min="2" max="2" style="31" width="9.147857142857141" customWidth="1" bestFit="1"/>
    <col min="3" max="3" style="32" width="9.147857142857141" customWidth="1" bestFit="1"/>
    <col min="4" max="4" style="33" width="13.147857142857141" customWidth="1" bestFit="1"/>
    <col min="5" max="5" style="34" width="15.290714285714287" customWidth="1" bestFit="1"/>
    <col min="6" max="6" style="34" width="14.719285714285713" customWidth="1" bestFit="1"/>
    <col min="7" max="7" style="34" width="13.719285714285713" customWidth="1" bestFit="1"/>
    <col min="8" max="8" style="34" width="10.862142857142858" customWidth="1" bestFit="1"/>
    <col min="9" max="9" style="34" width="10.862142857142858" customWidth="1" bestFit="1"/>
    <col min="10" max="10" style="34" width="9.147857142857141" customWidth="1" bestFit="1"/>
    <col min="11" max="11" style="34" width="13.147857142857141" customWidth="1" bestFit="1"/>
    <col min="12" max="12" style="35" width="13.576428571428572" customWidth="1" bestFit="1" hidden="1"/>
    <col min="13" max="13" style="34" width="14.147857142857141" customWidth="1" bestFit="1"/>
    <col min="14" max="14" style="36" width="13.576428571428572" customWidth="1" bestFit="1" hidden="1"/>
    <col min="15" max="15" style="37" width="13.576428571428572" customWidth="1" bestFit="1"/>
    <col min="16" max="16" style="38" width="13.576428571428572" customWidth="1" bestFit="1"/>
    <col min="17" max="17" style="37" width="13.576428571428572" customWidth="1" bestFit="1"/>
    <col min="18" max="18" style="37" width="13.576428571428572" customWidth="1" bestFit="1"/>
    <col min="19" max="19" style="30" width="13.576428571428572" customWidth="1" bestFit="1"/>
    <col min="20" max="20" style="39" width="12.862142857142858" customWidth="1" bestFit="1"/>
  </cols>
  <sheetData>
    <row x14ac:dyDescent="0.25" r="1" customHeight="1" ht="18.75">
      <c r="A1" s="1"/>
      <c r="B1" s="2"/>
      <c r="C1" s="3"/>
      <c r="D1" s="4" t="s">
        <v>0</v>
      </c>
      <c r="E1" s="4"/>
      <c r="F1" s="4"/>
      <c r="G1" s="4"/>
      <c r="H1" s="4"/>
      <c r="I1" s="4"/>
      <c r="J1" s="4" t="s">
        <v>1</v>
      </c>
      <c r="K1" s="4"/>
      <c r="L1" s="5"/>
      <c r="M1" s="6"/>
      <c r="N1" s="7"/>
      <c r="O1" s="8" t="s">
        <v>2</v>
      </c>
      <c r="P1" s="8"/>
      <c r="Q1" s="8"/>
      <c r="R1" s="8"/>
      <c r="S1" s="1"/>
      <c r="T1" s="9"/>
    </row>
    <row x14ac:dyDescent="0.25" r="2" customHeight="1" ht="44.25">
      <c r="A2" s="1"/>
      <c r="B2" s="8" t="s">
        <v>3</v>
      </c>
      <c r="C2" s="10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2" t="s">
        <v>13</v>
      </c>
      <c r="M2" s="11" t="s">
        <v>14</v>
      </c>
      <c r="N2" s="13" t="s">
        <v>15</v>
      </c>
      <c r="O2" s="14" t="s">
        <v>16</v>
      </c>
      <c r="P2" s="14" t="s">
        <v>17</v>
      </c>
      <c r="Q2" s="14" t="s">
        <v>18</v>
      </c>
      <c r="R2" s="14" t="s">
        <v>19</v>
      </c>
      <c r="S2" s="1"/>
      <c r="T2" s="15" t="s">
        <v>20</v>
      </c>
    </row>
    <row x14ac:dyDescent="0.25" r="3" customHeight="1" ht="18.75">
      <c r="A3" s="1"/>
      <c r="B3" s="16">
        <v>1</v>
      </c>
      <c r="C3" s="17" t="s">
        <v>21</v>
      </c>
      <c r="D3" s="18">
        <v>10773.26</v>
      </c>
      <c r="E3" s="19">
        <v>1277.54</v>
      </c>
      <c r="F3" s="19">
        <v>3221.45</v>
      </c>
      <c r="G3" s="19">
        <f>SUM(D3*0.2)</f>
      </c>
      <c r="H3" s="19">
        <v>846.15</v>
      </c>
      <c r="I3" s="19">
        <v>0</v>
      </c>
      <c r="J3" s="19">
        <f>SUM(D3+G3+H3)*13%</f>
      </c>
      <c r="K3" s="19">
        <f>SUM(D3+I3)*8%</f>
      </c>
      <c r="L3" s="20">
        <v>0.08</v>
      </c>
      <c r="M3" s="19">
        <f>SUM(D3+I3)*6.5%</f>
      </c>
      <c r="N3" s="21">
        <v>0.065</v>
      </c>
      <c r="O3" s="22"/>
      <c r="P3" s="22"/>
      <c r="Q3" s="22"/>
      <c r="R3" s="22"/>
      <c r="S3" s="1"/>
      <c r="T3" s="9"/>
    </row>
    <row x14ac:dyDescent="0.25" r="4" customHeight="1" ht="18.75">
      <c r="A4" s="1"/>
      <c r="B4" s="16">
        <v>2</v>
      </c>
      <c r="C4" s="17" t="s">
        <v>21</v>
      </c>
      <c r="D4" s="18">
        <v>6788.73</v>
      </c>
      <c r="E4" s="23"/>
      <c r="F4" s="23"/>
      <c r="G4" s="23"/>
      <c r="H4" s="23"/>
      <c r="I4" s="23"/>
      <c r="J4" s="23"/>
      <c r="K4" s="19">
        <f>SUM(D4+I4)*8%</f>
      </c>
      <c r="L4" s="20">
        <v>0.08</v>
      </c>
      <c r="M4" s="19">
        <f>SUM(D4+I4)*6.5%</f>
      </c>
      <c r="N4" s="21">
        <v>0.065</v>
      </c>
      <c r="O4" s="22"/>
      <c r="P4" s="22"/>
      <c r="Q4" s="24">
        <v>180</v>
      </c>
      <c r="R4" s="24">
        <v>585</v>
      </c>
      <c r="S4" s="1"/>
      <c r="T4" s="9"/>
    </row>
    <row x14ac:dyDescent="0.25" r="5" customHeight="1" ht="18.75">
      <c r="A5" s="1"/>
      <c r="B5" s="16">
        <v>3</v>
      </c>
      <c r="C5" s="17" t="s">
        <v>21</v>
      </c>
      <c r="D5" s="18">
        <v>5746.54</v>
      </c>
      <c r="E5" s="23"/>
      <c r="F5" s="23"/>
      <c r="G5" s="23"/>
      <c r="H5" s="23"/>
      <c r="I5" s="23"/>
      <c r="J5" s="23"/>
      <c r="K5" s="19">
        <f>SUM(D5+I5)*13%</f>
      </c>
      <c r="L5" s="20">
        <v>0.13</v>
      </c>
      <c r="M5" s="19">
        <f>SUM(D5+I5)*6.5%</f>
      </c>
      <c r="N5" s="21">
        <v>0.065</v>
      </c>
      <c r="O5" s="22"/>
      <c r="P5" s="22"/>
      <c r="Q5" s="24">
        <v>135</v>
      </c>
      <c r="R5" s="24">
        <v>428</v>
      </c>
      <c r="S5" s="1"/>
      <c r="T5" s="9"/>
    </row>
    <row x14ac:dyDescent="0.25" r="6" customHeight="1" ht="18.75">
      <c r="A6" s="1"/>
      <c r="B6" s="16">
        <v>4</v>
      </c>
      <c r="C6" s="17" t="s">
        <v>21</v>
      </c>
      <c r="D6" s="18">
        <v>7920.19</v>
      </c>
      <c r="E6" s="23"/>
      <c r="F6" s="23"/>
      <c r="G6" s="23"/>
      <c r="H6" s="23"/>
      <c r="I6" s="23"/>
      <c r="J6" s="23"/>
      <c r="K6" s="19">
        <v>945</v>
      </c>
      <c r="L6" s="25">
        <v>945</v>
      </c>
      <c r="M6" s="19">
        <f>SUM(D6+I6)*6.5%</f>
      </c>
      <c r="N6" s="21">
        <v>0.065</v>
      </c>
      <c r="O6" s="22"/>
      <c r="P6" s="22"/>
      <c r="Q6" s="24">
        <v>180</v>
      </c>
      <c r="R6" s="24">
        <v>585</v>
      </c>
      <c r="S6" s="1"/>
      <c r="T6" s="9"/>
    </row>
    <row x14ac:dyDescent="0.25" r="7" customHeight="1" ht="18.75">
      <c r="A7" s="1"/>
      <c r="B7" s="16">
        <v>5</v>
      </c>
      <c r="C7" s="17" t="s">
        <v>21</v>
      </c>
      <c r="D7" s="18">
        <v>4235.6</v>
      </c>
      <c r="E7" s="23"/>
      <c r="F7" s="23"/>
      <c r="G7" s="23"/>
      <c r="H7" s="23"/>
      <c r="I7" s="23"/>
      <c r="J7" s="23"/>
      <c r="K7" s="19">
        <f>SUM(D7+I7)*8%</f>
      </c>
      <c r="L7" s="20">
        <v>0.08</v>
      </c>
      <c r="M7" s="19">
        <f>SUM(D7+I7)*6.5%</f>
      </c>
      <c r="N7" s="21">
        <v>0.065</v>
      </c>
      <c r="O7" s="24">
        <v>90</v>
      </c>
      <c r="P7" s="24">
        <v>54</v>
      </c>
      <c r="Q7" s="22"/>
      <c r="R7" s="22"/>
      <c r="S7" s="1"/>
      <c r="T7" s="9"/>
    </row>
    <row x14ac:dyDescent="0.25" r="8" customHeight="1" ht="18.75">
      <c r="A8" s="1"/>
      <c r="B8" s="16">
        <v>6</v>
      </c>
      <c r="C8" s="17" t="s">
        <v>21</v>
      </c>
      <c r="D8" s="18">
        <v>7342.01</v>
      </c>
      <c r="E8" s="23"/>
      <c r="F8" s="23"/>
      <c r="G8" s="23"/>
      <c r="H8" s="23"/>
      <c r="I8" s="23"/>
      <c r="J8" s="23"/>
      <c r="K8" s="19">
        <f>SUM(D8+I8)*15%</f>
      </c>
      <c r="L8" s="20">
        <v>0.15</v>
      </c>
      <c r="M8" s="19">
        <f>SUM(D8+I8)*6.5%</f>
      </c>
      <c r="N8" s="21">
        <v>0.065</v>
      </c>
      <c r="O8" s="22"/>
      <c r="P8" s="22"/>
      <c r="Q8" s="24">
        <v>180</v>
      </c>
      <c r="R8" s="24">
        <v>585</v>
      </c>
      <c r="S8" s="1"/>
      <c r="T8" s="9"/>
    </row>
    <row x14ac:dyDescent="0.25" r="9" customHeight="1" ht="18.75">
      <c r="A9" s="1"/>
      <c r="B9" s="16">
        <v>7</v>
      </c>
      <c r="C9" s="17" t="s">
        <v>21</v>
      </c>
      <c r="D9" s="18">
        <v>6025.5</v>
      </c>
      <c r="E9" s="23"/>
      <c r="F9" s="23"/>
      <c r="G9" s="23"/>
      <c r="H9" s="23"/>
      <c r="I9" s="23"/>
      <c r="J9" s="23"/>
      <c r="K9" s="19">
        <f>SUM(D9+I9)*15%</f>
      </c>
      <c r="L9" s="20">
        <v>0.15</v>
      </c>
      <c r="M9" s="19">
        <f>SUM(D9+I9)*6.5%</f>
      </c>
      <c r="N9" s="21">
        <v>0.065</v>
      </c>
      <c r="O9" s="22"/>
      <c r="P9" s="22"/>
      <c r="Q9" s="24">
        <v>150</v>
      </c>
      <c r="R9" s="24">
        <v>550</v>
      </c>
      <c r="S9" s="1"/>
      <c r="T9" s="9"/>
    </row>
    <row x14ac:dyDescent="0.25" r="10" customHeight="1" ht="18.75">
      <c r="A10" s="1"/>
      <c r="B10" s="16">
        <v>8</v>
      </c>
      <c r="C10" s="17" t="s">
        <v>21</v>
      </c>
      <c r="D10" s="18">
        <v>6527.63</v>
      </c>
      <c r="E10" s="23"/>
      <c r="F10" s="23"/>
      <c r="G10" s="23"/>
      <c r="H10" s="23"/>
      <c r="I10" s="23"/>
      <c r="J10" s="23"/>
      <c r="K10" s="19">
        <f>SUM(D10+I10)*8%</f>
      </c>
      <c r="L10" s="20">
        <v>0.08</v>
      </c>
      <c r="M10" s="19">
        <f>SUM(D10+I10)*6.5%</f>
      </c>
      <c r="N10" s="21">
        <v>0.065</v>
      </c>
      <c r="O10" s="22"/>
      <c r="P10" s="22"/>
      <c r="Q10" s="24">
        <v>180</v>
      </c>
      <c r="R10" s="24">
        <v>585</v>
      </c>
      <c r="S10" s="1"/>
      <c r="T10" s="9"/>
    </row>
    <row x14ac:dyDescent="0.25" r="11" customHeight="1" ht="18.75">
      <c r="A11" s="1"/>
      <c r="B11" s="16">
        <v>9</v>
      </c>
      <c r="C11" s="17" t="s">
        <v>21</v>
      </c>
      <c r="D11" s="18">
        <v>4550</v>
      </c>
      <c r="E11" s="23"/>
      <c r="F11" s="23"/>
      <c r="G11" s="23"/>
      <c r="H11" s="23"/>
      <c r="I11" s="23"/>
      <c r="J11" s="23"/>
      <c r="K11" s="19">
        <f>SUM(D11+I11)*8%</f>
      </c>
      <c r="L11" s="20">
        <v>0.08</v>
      </c>
      <c r="M11" s="19">
        <f>SUM(D11+I11)*6.5%</f>
      </c>
      <c r="N11" s="21">
        <v>0.065</v>
      </c>
      <c r="O11" s="22"/>
      <c r="P11" s="24">
        <v>90</v>
      </c>
      <c r="Q11" s="22"/>
      <c r="R11" s="22"/>
      <c r="S11" s="1"/>
      <c r="T11" s="9"/>
    </row>
    <row x14ac:dyDescent="0.25" r="12" customHeight="1" ht="18.75">
      <c r="A12" s="1"/>
      <c r="B12" s="16">
        <v>10</v>
      </c>
      <c r="C12" s="17" t="s">
        <v>21</v>
      </c>
      <c r="D12" s="18">
        <v>2737.27</v>
      </c>
      <c r="E12" s="23"/>
      <c r="F12" s="23"/>
      <c r="G12" s="23"/>
      <c r="H12" s="23"/>
      <c r="I12" s="23"/>
      <c r="J12" s="26"/>
      <c r="K12" s="19">
        <v>225</v>
      </c>
      <c r="L12" s="25">
        <v>225</v>
      </c>
      <c r="M12" s="19">
        <f>SUM(D12+I12)*6.5%</f>
      </c>
      <c r="N12" s="21">
        <v>0.065</v>
      </c>
      <c r="O12" s="22"/>
      <c r="P12" s="24">
        <v>85</v>
      </c>
      <c r="Q12" s="22"/>
      <c r="R12" s="22"/>
      <c r="S12" s="1"/>
      <c r="T12" s="9"/>
    </row>
    <row x14ac:dyDescent="0.25" r="13" customHeight="1" ht="18.75">
      <c r="A13" s="1"/>
      <c r="B13" s="16">
        <v>11</v>
      </c>
      <c r="C13" s="17" t="s">
        <v>22</v>
      </c>
      <c r="D13" s="18">
        <v>5525.52</v>
      </c>
      <c r="E13" s="23"/>
      <c r="F13" s="23"/>
      <c r="G13" s="23"/>
      <c r="H13" s="23"/>
      <c r="I13" s="23"/>
      <c r="J13" s="23"/>
      <c r="K13" s="19">
        <f>SUM(D13+I13)*15%</f>
      </c>
      <c r="L13" s="20">
        <v>0.15</v>
      </c>
      <c r="M13" s="19">
        <f>SUM(D13+I13)*6.5%</f>
      </c>
      <c r="N13" s="21">
        <v>0.065</v>
      </c>
      <c r="O13" s="22"/>
      <c r="P13" s="22"/>
      <c r="Q13" s="24">
        <v>150</v>
      </c>
      <c r="R13" s="24">
        <v>475</v>
      </c>
      <c r="S13" s="1"/>
      <c r="T13" s="9"/>
    </row>
    <row x14ac:dyDescent="0.25" r="14" customHeight="1" ht="18.75">
      <c r="A14" s="1"/>
      <c r="B14" s="16">
        <v>12</v>
      </c>
      <c r="C14" s="17" t="s">
        <v>22</v>
      </c>
      <c r="D14" s="18">
        <v>2704</v>
      </c>
      <c r="E14" s="23"/>
      <c r="F14" s="23"/>
      <c r="G14" s="23"/>
      <c r="H14" s="23"/>
      <c r="I14" s="23"/>
      <c r="J14" s="23"/>
      <c r="K14" s="19">
        <f>SUM(D14+I14)*5%</f>
      </c>
      <c r="L14" s="20">
        <v>0.05</v>
      </c>
      <c r="M14" s="19">
        <f>SUM(D14+I14)*5%</f>
      </c>
      <c r="N14" s="21">
        <v>0.05</v>
      </c>
      <c r="O14" s="22"/>
      <c r="P14" s="24">
        <v>100</v>
      </c>
      <c r="Q14" s="22"/>
      <c r="R14" s="22"/>
      <c r="S14" s="1"/>
      <c r="T14" s="9"/>
    </row>
    <row x14ac:dyDescent="0.25" r="15" customHeight="1" ht="18.75">
      <c r="A15" s="1"/>
      <c r="B15" s="16">
        <v>13</v>
      </c>
      <c r="C15" s="17" t="s">
        <v>22</v>
      </c>
      <c r="D15" s="18">
        <v>4508.4</v>
      </c>
      <c r="E15" s="23"/>
      <c r="F15" s="23"/>
      <c r="G15" s="23"/>
      <c r="H15" s="23"/>
      <c r="I15" s="23"/>
      <c r="J15" s="23"/>
      <c r="K15" s="19">
        <v>420</v>
      </c>
      <c r="L15" s="27" t="s">
        <v>23</v>
      </c>
      <c r="M15" s="19">
        <f>SUM(D15+I15)*6.5%</f>
      </c>
      <c r="N15" s="21">
        <v>0.065</v>
      </c>
      <c r="O15" s="22"/>
      <c r="P15" s="24">
        <v>100</v>
      </c>
      <c r="Q15" s="22"/>
      <c r="R15" s="22"/>
      <c r="S15" s="1"/>
      <c r="T15" s="9"/>
    </row>
    <row x14ac:dyDescent="0.25" r="16" customHeight="1" ht="18.75">
      <c r="A16" s="1"/>
      <c r="B16" s="16">
        <v>14</v>
      </c>
      <c r="C16" s="17" t="s">
        <v>22</v>
      </c>
      <c r="D16" s="18">
        <v>7252.92</v>
      </c>
      <c r="E16" s="23"/>
      <c r="F16" s="23"/>
      <c r="G16" s="23"/>
      <c r="H16" s="23"/>
      <c r="I16" s="23"/>
      <c r="J16" s="23"/>
      <c r="K16" s="19">
        <f>SUM(D16+I16)*10%</f>
      </c>
      <c r="L16" s="20">
        <v>0.1</v>
      </c>
      <c r="M16" s="19">
        <f>SUM(D16+I16)*6.5%</f>
      </c>
      <c r="N16" s="21">
        <v>0.065</v>
      </c>
      <c r="O16" s="22"/>
      <c r="P16" s="22"/>
      <c r="Q16" s="24">
        <v>200</v>
      </c>
      <c r="R16" s="24">
        <v>650</v>
      </c>
      <c r="S16" s="1"/>
      <c r="T16" s="9"/>
    </row>
    <row x14ac:dyDescent="0.25" r="17" customHeight="1" ht="18.75">
      <c r="A17" s="1"/>
      <c r="B17" s="16">
        <v>15</v>
      </c>
      <c r="C17" s="17" t="s">
        <v>22</v>
      </c>
      <c r="D17" s="18">
        <v>5525.52</v>
      </c>
      <c r="E17" s="23"/>
      <c r="F17" s="23"/>
      <c r="G17" s="23"/>
      <c r="H17" s="23"/>
      <c r="I17" s="23"/>
      <c r="J17" s="23"/>
      <c r="K17" s="19">
        <f>SUM(D17+I17)*8%</f>
      </c>
      <c r="L17" s="20">
        <v>0.08</v>
      </c>
      <c r="M17" s="19">
        <f>SUM(D17+I17)*6.5%</f>
      </c>
      <c r="N17" s="21">
        <v>0.065</v>
      </c>
      <c r="O17" s="22"/>
      <c r="P17" s="22"/>
      <c r="Q17" s="24">
        <v>150</v>
      </c>
      <c r="R17" s="24">
        <v>475</v>
      </c>
      <c r="S17" s="1"/>
      <c r="T17" s="9"/>
    </row>
    <row x14ac:dyDescent="0.25" r="18" customHeight="1" ht="18.75">
      <c r="A18" s="1"/>
      <c r="B18" s="16">
        <v>16</v>
      </c>
      <c r="C18" s="17" t="s">
        <v>22</v>
      </c>
      <c r="D18" s="18">
        <v>4780.23</v>
      </c>
      <c r="E18" s="23"/>
      <c r="F18" s="23"/>
      <c r="G18" s="23"/>
      <c r="H18" s="23"/>
      <c r="I18" s="23"/>
      <c r="J18" s="23"/>
      <c r="K18" s="19">
        <f>SUM(D18+I18)*15%</f>
      </c>
      <c r="L18" s="20">
        <v>0.15</v>
      </c>
      <c r="M18" s="19">
        <f>SUM(D18+I18)*6.5%</f>
      </c>
      <c r="N18" s="21">
        <v>0.065</v>
      </c>
      <c r="O18" s="22"/>
      <c r="P18" s="22"/>
      <c r="Q18" s="24">
        <v>100</v>
      </c>
      <c r="R18" s="24">
        <v>300</v>
      </c>
      <c r="S18" s="1"/>
      <c r="T18" s="9"/>
    </row>
    <row x14ac:dyDescent="0.25" r="19" customHeight="1" ht="18.75">
      <c r="A19" s="1"/>
      <c r="B19" s="16">
        <v>17</v>
      </c>
      <c r="C19" s="17" t="s">
        <v>22</v>
      </c>
      <c r="D19" s="18">
        <v>2678</v>
      </c>
      <c r="E19" s="23"/>
      <c r="F19" s="23"/>
      <c r="G19" s="23"/>
      <c r="H19" s="23"/>
      <c r="I19" s="23"/>
      <c r="J19" s="23"/>
      <c r="K19" s="19">
        <v>375</v>
      </c>
      <c r="L19" s="27" t="s">
        <v>24</v>
      </c>
      <c r="M19" s="19">
        <f>SUM(D19+I19)*6.5%</f>
      </c>
      <c r="N19" s="21">
        <v>0.065</v>
      </c>
      <c r="O19" s="24">
        <v>80</v>
      </c>
      <c r="P19" s="22"/>
      <c r="Q19" s="22"/>
      <c r="R19" s="22"/>
      <c r="S19" s="1"/>
      <c r="T19" s="9"/>
    </row>
    <row x14ac:dyDescent="0.25" r="20" customHeight="1" ht="18.75">
      <c r="A20" s="1"/>
      <c r="B20" s="16">
        <v>18</v>
      </c>
      <c r="C20" s="17" t="s">
        <v>25</v>
      </c>
      <c r="D20" s="18">
        <v>1712533.33</v>
      </c>
      <c r="E20" s="23"/>
      <c r="F20" s="23"/>
      <c r="G20" s="23"/>
      <c r="H20" s="23"/>
      <c r="I20" s="23"/>
      <c r="J20" s="23"/>
      <c r="K20" s="23"/>
      <c r="L20" s="28"/>
      <c r="M20" s="23"/>
      <c r="N20" s="29"/>
      <c r="O20" s="22"/>
      <c r="P20" s="24">
        <v>50000</v>
      </c>
      <c r="Q20" s="22"/>
      <c r="R20" s="22"/>
      <c r="S20" s="1"/>
      <c r="T20" s="9"/>
    </row>
  </sheetData>
  <mergeCells count="3">
    <mergeCell ref="D1:I1"/>
    <mergeCell ref="J1:K1"/>
    <mergeCell ref="O1:R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2025-08-25T00:26:22.797Z</dcterms:created>
  <dcterms:modified xsi:type="dcterms:W3CDTF">2025-08-25T00:26:22.797Z</dcterms:modified>
</cp:coreProperties>
</file>