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R ESSA\01. PAYROLL 2025\7. GEC PAYROLL 2025\GEC Payroll Automation project\"/>
    </mc:Choice>
  </mc:AlternateContent>
  <xr:revisionPtr revIDLastSave="0" documentId="8_{D7A74FF1-1919-4FBD-8441-A9A02C0C90BB}" xr6:coauthVersionLast="47" xr6:coauthVersionMax="47" xr10:uidLastSave="{00000000-0000-0000-0000-000000000000}"/>
  <bookViews>
    <workbookView xWindow="28680" yWindow="-120" windowWidth="29040" windowHeight="15720" tabRatio="783" xr2:uid="{A182803F-3CD8-4C4A-A88C-26747A2801DC}"/>
  </bookViews>
  <sheets>
    <sheet name="Payroll Data" sheetId="1" r:id="rId1"/>
    <sheet name="Payslip Euro" sheetId="2" r:id="rId2"/>
    <sheet name="Payslip USD" sheetId="3" r:id="rId3"/>
    <sheet name="Payslip XAF" sheetId="8" r:id="rId4"/>
  </sheets>
  <definedNames>
    <definedName name="_xlnm._FilterDatabase" localSheetId="0" hidden="1">'Payroll Data'!$A$13:$AW$13</definedName>
    <definedName name="_xlnm._FilterDatabase" localSheetId="1" hidden="1">'Payslip Euro'!$A$17:$J$40</definedName>
    <definedName name="_xlnm._FilterDatabase" localSheetId="2" hidden="1">'Payslip USD'!$A$17:$J$40</definedName>
    <definedName name="_xlnm._FilterDatabase" localSheetId="3" hidden="1">'Payslip XAF'!$A$17:$J$40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9" i="1" l="1"/>
  <c r="AR9" i="1" s="1"/>
  <c r="AO9" i="1"/>
  <c r="AN9" i="1"/>
  <c r="AM9" i="1"/>
  <c r="AL9" i="1"/>
  <c r="AK9" i="1"/>
  <c r="AP18" i="1"/>
  <c r="AO18" i="1"/>
  <c r="AN18" i="1"/>
  <c r="AM18" i="1"/>
  <c r="AL18" i="1"/>
  <c r="AK18" i="1"/>
  <c r="AW17" i="1"/>
  <c r="AP17" i="1"/>
  <c r="AO17" i="1"/>
  <c r="AN17" i="1"/>
  <c r="AM17" i="1"/>
  <c r="AL17" i="1"/>
  <c r="AK17" i="1"/>
  <c r="Q17" i="1"/>
  <c r="AW16" i="1"/>
  <c r="AP16" i="1"/>
  <c r="AO16" i="1"/>
  <c r="AN16" i="1"/>
  <c r="AM16" i="1"/>
  <c r="AL16" i="1"/>
  <c r="AK16" i="1"/>
  <c r="Q16" i="1"/>
  <c r="AW15" i="1"/>
  <c r="AP15" i="1"/>
  <c r="AO15" i="1"/>
  <c r="AN15" i="1"/>
  <c r="AM15" i="1"/>
  <c r="AL15" i="1"/>
  <c r="AK15" i="1"/>
  <c r="Q15" i="1"/>
  <c r="AW14" i="1"/>
  <c r="AP14" i="1"/>
  <c r="AO14" i="1"/>
  <c r="AN14" i="1"/>
  <c r="AM14" i="1"/>
  <c r="AL14" i="1"/>
  <c r="AR14" i="1" s="1"/>
  <c r="AK14" i="1"/>
  <c r="Q14" i="1"/>
  <c r="P14" i="1"/>
  <c r="AR16" i="1" l="1"/>
  <c r="AR18" i="1"/>
  <c r="AR17" i="1"/>
  <c r="AR15" i="1"/>
  <c r="F38" i="8" l="1"/>
  <c r="I38" i="8"/>
  <c r="J38" i="8" s="1"/>
  <c r="D27" i="8"/>
  <c r="E27" i="8" s="1"/>
  <c r="A27" i="8"/>
  <c r="I38" i="3"/>
  <c r="J38" i="3" s="1"/>
  <c r="F38" i="3"/>
  <c r="D27" i="3"/>
  <c r="E27" i="3" s="1"/>
  <c r="A27" i="3"/>
  <c r="I38" i="2"/>
  <c r="J38" i="2" s="1"/>
  <c r="I37" i="2"/>
  <c r="J37" i="2" s="1"/>
  <c r="F38" i="2"/>
  <c r="D27" i="2"/>
  <c r="E27" i="2" s="1"/>
  <c r="D26" i="2"/>
  <c r="E26" i="2" s="1"/>
  <c r="A27" i="2"/>
  <c r="A26" i="2"/>
  <c r="AO8" i="1"/>
  <c r="AP8" i="1"/>
  <c r="AN8" i="1"/>
  <c r="AL8" i="1"/>
  <c r="AK8" i="1"/>
  <c r="AM8" i="1"/>
  <c r="F39" i="8"/>
  <c r="I37" i="8"/>
  <c r="J37" i="8" s="1"/>
  <c r="F37" i="8"/>
  <c r="F36" i="8"/>
  <c r="I35" i="8"/>
  <c r="J35" i="8" s="1"/>
  <c r="F35" i="8"/>
  <c r="D34" i="8"/>
  <c r="C34" i="8"/>
  <c r="A34" i="8"/>
  <c r="D33" i="8"/>
  <c r="C33" i="8"/>
  <c r="A33" i="8"/>
  <c r="D32" i="8"/>
  <c r="C32" i="8"/>
  <c r="A32" i="8"/>
  <c r="D31" i="8"/>
  <c r="C31" i="8"/>
  <c r="A31" i="8"/>
  <c r="D30" i="8"/>
  <c r="C30" i="8"/>
  <c r="A30" i="8"/>
  <c r="D29" i="8"/>
  <c r="C29" i="8"/>
  <c r="A29" i="8"/>
  <c r="A28" i="8"/>
  <c r="D26" i="8"/>
  <c r="E26" i="8" s="1"/>
  <c r="A26" i="8"/>
  <c r="D25" i="8"/>
  <c r="E25" i="8" s="1"/>
  <c r="A25" i="8"/>
  <c r="D24" i="8"/>
  <c r="E24" i="8" s="1"/>
  <c r="A24" i="8"/>
  <c r="D23" i="8"/>
  <c r="E23" i="8" s="1"/>
  <c r="A23" i="8"/>
  <c r="D22" i="8"/>
  <c r="E22" i="8" s="1"/>
  <c r="A22" i="8"/>
  <c r="D21" i="8"/>
  <c r="E21" i="8" s="1"/>
  <c r="A21" i="8"/>
  <c r="D20" i="8"/>
  <c r="E20" i="8" s="1"/>
  <c r="A20" i="8"/>
  <c r="I15" i="8"/>
  <c r="H15" i="8"/>
  <c r="C15" i="8"/>
  <c r="A15" i="8"/>
  <c r="H13" i="8"/>
  <c r="D28" i="8"/>
  <c r="E28" i="8" s="1"/>
  <c r="I39" i="8"/>
  <c r="J39" i="8" s="1"/>
  <c r="I36" i="8"/>
  <c r="J36" i="8" s="1"/>
  <c r="I39" i="3"/>
  <c r="J39" i="3" s="1"/>
  <c r="F39" i="3"/>
  <c r="I37" i="3"/>
  <c r="J37" i="3" s="1"/>
  <c r="F37" i="3"/>
  <c r="F36" i="3"/>
  <c r="I35" i="3"/>
  <c r="J35" i="3" s="1"/>
  <c r="F35" i="3"/>
  <c r="D34" i="3"/>
  <c r="C34" i="3"/>
  <c r="A34" i="3"/>
  <c r="D33" i="3"/>
  <c r="C33" i="3"/>
  <c r="A33" i="3"/>
  <c r="D32" i="3"/>
  <c r="C32" i="3"/>
  <c r="A32" i="3"/>
  <c r="D31" i="3"/>
  <c r="C31" i="3"/>
  <c r="A31" i="3"/>
  <c r="D30" i="3"/>
  <c r="C30" i="3"/>
  <c r="A30" i="3"/>
  <c r="D29" i="3"/>
  <c r="C29" i="3"/>
  <c r="A29" i="3"/>
  <c r="A28" i="3"/>
  <c r="D26" i="3"/>
  <c r="E26" i="3" s="1"/>
  <c r="A26" i="3"/>
  <c r="D25" i="3"/>
  <c r="E25" i="3" s="1"/>
  <c r="A25" i="3"/>
  <c r="D24" i="3"/>
  <c r="E24" i="3" s="1"/>
  <c r="A24" i="3"/>
  <c r="D23" i="3"/>
  <c r="E23" i="3" s="1"/>
  <c r="A23" i="3"/>
  <c r="D22" i="3"/>
  <c r="E22" i="3" s="1"/>
  <c r="A22" i="3"/>
  <c r="D21" i="3"/>
  <c r="E21" i="3" s="1"/>
  <c r="A21" i="3"/>
  <c r="D20" i="3"/>
  <c r="E20" i="3" s="1"/>
  <c r="A20" i="3"/>
  <c r="I15" i="3"/>
  <c r="H15" i="3"/>
  <c r="C15" i="3"/>
  <c r="A15" i="3"/>
  <c r="H13" i="3"/>
  <c r="AH7" i="1"/>
  <c r="AP7" i="1" s="1"/>
  <c r="AG7" i="1"/>
  <c r="AO7" i="1" s="1"/>
  <c r="AF7" i="1"/>
  <c r="AN7" i="1" s="1"/>
  <c r="AE7" i="1"/>
  <c r="AM7" i="1" s="1"/>
  <c r="AD7" i="1"/>
  <c r="AL7" i="1" s="1"/>
  <c r="AC7" i="1"/>
  <c r="AK7" i="1" s="1"/>
  <c r="D21" i="2"/>
  <c r="E21" i="2" s="1"/>
  <c r="D22" i="2"/>
  <c r="E22" i="2" s="1"/>
  <c r="D23" i="2"/>
  <c r="E23" i="2" s="1"/>
  <c r="D24" i="2"/>
  <c r="E24" i="2" s="1"/>
  <c r="D25" i="2"/>
  <c r="E25" i="2" s="1"/>
  <c r="D20" i="2"/>
  <c r="E20" i="2" s="1"/>
  <c r="F39" i="2"/>
  <c r="F37" i="2"/>
  <c r="F36" i="2"/>
  <c r="F35" i="2"/>
  <c r="H3" i="1"/>
  <c r="I36" i="3"/>
  <c r="J36" i="3" s="1"/>
  <c r="I36" i="2"/>
  <c r="J36" i="2" s="1"/>
  <c r="I39" i="2"/>
  <c r="J39" i="2" s="1"/>
  <c r="D34" i="2"/>
  <c r="C34" i="2"/>
  <c r="C33" i="2"/>
  <c r="A34" i="2"/>
  <c r="D33" i="2"/>
  <c r="D32" i="2"/>
  <c r="C32" i="2"/>
  <c r="D31" i="2"/>
  <c r="C31" i="2"/>
  <c r="C30" i="2"/>
  <c r="D30" i="2"/>
  <c r="C29" i="2"/>
  <c r="D29" i="2"/>
  <c r="A33" i="2"/>
  <c r="A32" i="2"/>
  <c r="A31" i="2"/>
  <c r="A30" i="2"/>
  <c r="A29" i="2"/>
  <c r="A28" i="2"/>
  <c r="A25" i="2"/>
  <c r="A24" i="2"/>
  <c r="A23" i="2"/>
  <c r="A22" i="2"/>
  <c r="A21" i="2"/>
  <c r="A20" i="2"/>
  <c r="H13" i="2"/>
  <c r="C15" i="2"/>
  <c r="A15" i="2"/>
  <c r="I15" i="2"/>
  <c r="H15" i="2"/>
  <c r="D28" i="3"/>
  <c r="E28" i="3" s="1"/>
  <c r="D28" i="2"/>
  <c r="E28" i="2" s="1"/>
  <c r="I35" i="2" l="1"/>
  <c r="J35" i="2" s="1"/>
  <c r="J40" i="2" s="1"/>
  <c r="I45" i="2" s="1"/>
  <c r="E30" i="3"/>
  <c r="E32" i="3"/>
  <c r="E32" i="8"/>
  <c r="E29" i="2"/>
  <c r="E29" i="8"/>
  <c r="E33" i="8"/>
  <c r="E30" i="8"/>
  <c r="E34" i="8"/>
  <c r="AR8" i="1"/>
  <c r="E31" i="3"/>
  <c r="E32" i="2"/>
  <c r="E31" i="2"/>
  <c r="E29" i="3"/>
  <c r="E33" i="3"/>
  <c r="E34" i="3"/>
  <c r="E33" i="2"/>
  <c r="E31" i="8"/>
  <c r="E34" i="2"/>
  <c r="E30" i="2"/>
  <c r="J40" i="3"/>
  <c r="I45" i="3" s="1"/>
  <c r="J40" i="8"/>
  <c r="I45" i="8" s="1"/>
  <c r="E40" i="8" l="1"/>
  <c r="I44" i="8" s="1"/>
  <c r="I47" i="8" s="1"/>
  <c r="E40" i="3"/>
  <c r="I44" i="3" s="1"/>
  <c r="I47" i="3" s="1"/>
  <c r="E40" i="2"/>
  <c r="I44" i="2" s="1"/>
  <c r="I4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Debbie Livastoel</author>
    <author>Ashley Otto</author>
  </authors>
  <commentList>
    <comment ref="Q7" authorId="0" shapeId="0" xr:uid="{7C87A3C9-0837-4D91-81BF-1173616AC19D}">
      <text>
        <r>
          <rPr>
            <b/>
            <sz val="9"/>
            <color indexed="81"/>
            <rFont val="Tahoma"/>
            <family val="2"/>
          </rPr>
          <t>Debbie Livastoel:</t>
        </r>
        <r>
          <rPr>
            <sz val="9"/>
            <color indexed="81"/>
            <rFont val="Tahoma"/>
            <family val="2"/>
          </rPr>
          <t xml:space="preserve">
Check with Mindy if salary increase or other. Ask for monthly pension update in case of change. </t>
        </r>
      </text>
    </comment>
    <comment ref="AC7" authorId="0" shapeId="0" xr:uid="{6B2F018A-11B9-471D-A693-701403F2D234}">
      <text>
        <r>
          <rPr>
            <b/>
            <sz val="9"/>
            <color indexed="81"/>
            <rFont val="Tahoma"/>
            <family val="2"/>
          </rPr>
          <t>Debbie Livastoel:</t>
        </r>
        <r>
          <rPr>
            <sz val="9"/>
            <color indexed="81"/>
            <rFont val="Tahoma"/>
            <family val="2"/>
          </rPr>
          <t xml:space="preserve">
Plot in timesheet information here. DO NOT log OFF Days. </t>
        </r>
      </text>
    </comment>
    <comment ref="AH7" authorId="1" shapeId="0" xr:uid="{4583CD1D-3468-4C24-8BE3-66AC045731E3}">
      <text>
        <r>
          <rPr>
            <b/>
            <sz val="9"/>
            <color indexed="81"/>
            <rFont val="Tahoma"/>
            <family val="2"/>
          </rPr>
          <t>Ashley Otto:</t>
        </r>
        <r>
          <rPr>
            <sz val="9"/>
            <color indexed="81"/>
            <rFont val="Tahoma"/>
            <family val="2"/>
          </rPr>
          <t xml:space="preserve">
o Next 1 hour the multiplier is 4x  2x8 + 3x1 + 4x1</t>
        </r>
      </text>
    </comment>
    <comment ref="AJ7" authorId="1" shapeId="0" xr:uid="{F97C920C-7E24-4788-9E02-489859CDAB46}">
      <text>
        <r>
          <rPr>
            <b/>
            <sz val="9"/>
            <color indexed="81"/>
            <rFont val="Tahoma"/>
            <family val="2"/>
          </rPr>
          <t>Ashley Otto:</t>
        </r>
        <r>
          <rPr>
            <sz val="9"/>
            <color indexed="81"/>
            <rFont val="Tahoma"/>
            <family val="2"/>
          </rPr>
          <t xml:space="preserve">
ignore on tracker
</t>
        </r>
      </text>
    </comment>
    <comment ref="AK7" authorId="0" shapeId="0" xr:uid="{B9A60949-38DF-4E2A-B863-63A3A0F79421}">
      <text>
        <r>
          <rPr>
            <b/>
            <sz val="9"/>
            <color indexed="81"/>
            <rFont val="Tahoma"/>
            <family val="2"/>
          </rPr>
          <t>Debbie Livastoel: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7" authorId="1" shapeId="0" xr:uid="{63737C84-F624-4329-A5A2-126061F8CB56}">
      <text>
        <r>
          <rPr>
            <b/>
            <sz val="9"/>
            <color indexed="81"/>
            <rFont val="Tahoma"/>
            <family val="2"/>
          </rPr>
          <t>Ashley Otto:</t>
        </r>
        <r>
          <rPr>
            <sz val="9"/>
            <color indexed="81"/>
            <rFont val="Tahoma"/>
            <family val="2"/>
          </rPr>
          <t xml:space="preserve">
WILL ALWAYS have amounts listed (due to fixed rates)
</t>
        </r>
      </text>
    </comment>
  </commentList>
</comments>
</file>

<file path=xl/sharedStrings.xml><?xml version="1.0" encoding="utf-8"?>
<sst xmlns="http://schemas.openxmlformats.org/spreadsheetml/2006/main" count="230" uniqueCount="93">
  <si>
    <t>LOCATION</t>
  </si>
  <si>
    <t>WIS Global Resources Ltd</t>
  </si>
  <si>
    <t>EMPLOYEE NO.</t>
  </si>
  <si>
    <t>NAME</t>
  </si>
  <si>
    <t>PAY DATE</t>
  </si>
  <si>
    <t>PERIOD</t>
  </si>
  <si>
    <t>Payments</t>
  </si>
  <si>
    <t>Deductions</t>
  </si>
  <si>
    <t>Month End</t>
  </si>
  <si>
    <t>Description</t>
  </si>
  <si>
    <t>Units</t>
  </si>
  <si>
    <t>Rate</t>
  </si>
  <si>
    <t>Amount</t>
  </si>
  <si>
    <t xml:space="preserve">Units  </t>
  </si>
  <si>
    <t>Basic Monthly Salary</t>
  </si>
  <si>
    <t>Pension</t>
  </si>
  <si>
    <t>TOTAL PAYMENTS</t>
  </si>
  <si>
    <t>TOTAL DEDUCTIONS</t>
  </si>
  <si>
    <t>Total Payments</t>
  </si>
  <si>
    <t>Total Deductions</t>
  </si>
  <si>
    <t>Total NET Pay</t>
  </si>
  <si>
    <t>Transport Allowance</t>
  </si>
  <si>
    <t>Food Allowance</t>
  </si>
  <si>
    <t>Housing Allowance</t>
  </si>
  <si>
    <t>Geographic Coefficient</t>
  </si>
  <si>
    <t>Relocation Lum Sum</t>
  </si>
  <si>
    <t>Annual Bonus*</t>
  </si>
  <si>
    <t>Tax Refund</t>
  </si>
  <si>
    <t>Field Bonus/Job Bonus In Country</t>
  </si>
  <si>
    <t>Rotation Premium -In Country</t>
  </si>
  <si>
    <t xml:space="preserve">OFFSHORE DAY/Wellsite </t>
  </si>
  <si>
    <t>Stand By Rate while In Country</t>
  </si>
  <si>
    <t xml:space="preserve"> Wellsite Rate While On Rotation</t>
  </si>
  <si>
    <t>EMBO</t>
  </si>
  <si>
    <t>Local Deduction</t>
  </si>
  <si>
    <t>Tax</t>
  </si>
  <si>
    <t>EE#</t>
  </si>
  <si>
    <t>Name</t>
  </si>
  <si>
    <t>Assignment Country</t>
  </si>
  <si>
    <t xml:space="preserve">Status </t>
  </si>
  <si>
    <t>Basic Salary</t>
  </si>
  <si>
    <t>Mindy Sheet</t>
  </si>
  <si>
    <t>Daily Per Diem</t>
  </si>
  <si>
    <t>NORMAL DAYS</t>
  </si>
  <si>
    <t>Total Hours</t>
  </si>
  <si>
    <t>LEAVE</t>
  </si>
  <si>
    <t>Comments</t>
  </si>
  <si>
    <t>Total Gross Pay</t>
  </si>
  <si>
    <t>Expat</t>
  </si>
  <si>
    <t>N/A</t>
  </si>
  <si>
    <t>-</t>
  </si>
  <si>
    <t>Rotator</t>
  </si>
  <si>
    <t>Month end</t>
  </si>
  <si>
    <t>GEC</t>
  </si>
  <si>
    <t>Currency</t>
  </si>
  <si>
    <t>Per Diem</t>
  </si>
  <si>
    <t>Full time</t>
  </si>
  <si>
    <t>EMPLOYMENT</t>
  </si>
  <si>
    <t>Fill inn key data for Payslips. Yellow fields below.</t>
  </si>
  <si>
    <t>South Africa</t>
  </si>
  <si>
    <t>End of Service Benefit</t>
  </si>
  <si>
    <t>Timesheet Required</t>
  </si>
  <si>
    <t>TYPE</t>
  </si>
  <si>
    <t>Overpayment</t>
  </si>
  <si>
    <t>Oveerpayment</t>
  </si>
  <si>
    <t>Gabon</t>
  </si>
  <si>
    <t>Calculated in EUR and Paid in EUR</t>
  </si>
  <si>
    <t>Calculated in USD Paid in USD</t>
  </si>
  <si>
    <t xml:space="preserve">Gabon </t>
  </si>
  <si>
    <t>Calculated in XAF Paid in XAF</t>
  </si>
  <si>
    <t>Back Payment</t>
  </si>
  <si>
    <t>Ivory Coast</t>
  </si>
  <si>
    <t>Yes</t>
  </si>
  <si>
    <t>No</t>
  </si>
  <si>
    <t>EUR</t>
  </si>
  <si>
    <t>USD</t>
  </si>
  <si>
    <t>XAF</t>
  </si>
  <si>
    <t>Has chosen not to join pension scheme as yet</t>
  </si>
  <si>
    <t>Test Date</t>
  </si>
  <si>
    <t>Test period</t>
  </si>
  <si>
    <t>Employee C</t>
  </si>
  <si>
    <t>Employee A</t>
  </si>
  <si>
    <t>4 days standby, 10 days rig site, 13 days in country - various countries</t>
  </si>
  <si>
    <t>Employee B</t>
  </si>
  <si>
    <t>10 days at the wellsite, 4 days on standby and   17 days on home rotation</t>
  </si>
  <si>
    <t>Employee D</t>
  </si>
  <si>
    <t>Employee E</t>
  </si>
  <si>
    <t>Mauritius</t>
  </si>
  <si>
    <t>001</t>
  </si>
  <si>
    <t>002</t>
  </si>
  <si>
    <t>003</t>
  </si>
  <si>
    <t>004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</si>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</sst>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&quot;£&quot;#,##0.00"/>
    <numFmt numFmtId="168" formatCode="[$$-1004]#,##0.00"/>
    <numFmt numFmtId="169" formatCode="[$€-2]\ #,##0.00"/>
    <numFmt numFmtId="171" formatCode="0.0%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7.5"/>
      <color theme="1"/>
      <name val="Arial"/>
      <family val="2"/>
    </font>
    <font>
      <sz val="10"/>
      <color theme="1"/>
      <name val="Arial"/>
      <family val="2"/>
    </font>
    <font>
      <sz val="12.5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</font>
    <font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9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name val="Arial"/>
      <family val="2"/>
    </font>
    <font>
      <b/>
      <sz val="11"/>
      <color theme="5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81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F9F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BF54D"/>
        <bgColor indexed="64"/>
      </patternFill>
    </fill>
    <fill>
      <patternFill patternType="solid">
        <fgColor rgb="FFFF66F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>
      <alignment vertical="top"/>
      <protection locked="0"/>
    </xf>
    <xf numFmtId="44" fontId="8" fillId="0" borderId="0" applyFont="0" applyFill="0" applyBorder="0" applyAlignment="0" applyProtection="0"/>
  </cellStyleXfs>
  <cellXfs count="203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9"/>
    </xf>
    <xf numFmtId="0" fontId="5" fillId="0" borderId="0" xfId="0" applyFont="1" applyAlignment="1">
      <alignment horizontal="left" vertical="center" indent="6"/>
    </xf>
    <xf numFmtId="0" fontId="2" fillId="2" borderId="1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2" fontId="10" fillId="11" borderId="5" xfId="0" applyNumberFormat="1" applyFont="1" applyFill="1" applyBorder="1" applyAlignment="1">
      <alignment horizontal="center" vertical="center" wrapText="1"/>
    </xf>
    <xf numFmtId="164" fontId="10" fillId="9" borderId="5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14" borderId="5" xfId="0" applyFont="1" applyFill="1" applyBorder="1"/>
    <xf numFmtId="43" fontId="14" fillId="0" borderId="5" xfId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/>
    </xf>
    <xf numFmtId="0" fontId="14" fillId="0" borderId="0" xfId="0" applyFont="1"/>
    <xf numFmtId="0" fontId="14" fillId="0" borderId="5" xfId="0" applyFont="1" applyBorder="1"/>
    <xf numFmtId="43" fontId="14" fillId="3" borderId="5" xfId="1" applyFont="1" applyFill="1" applyBorder="1" applyAlignment="1">
      <alignment horizontal="center" vertical="center"/>
    </xf>
    <xf numFmtId="43" fontId="14" fillId="4" borderId="5" xfId="1" applyFont="1" applyFill="1" applyBorder="1" applyAlignment="1" applyProtection="1">
      <alignment horizontal="center" vertical="center"/>
      <protection locked="0"/>
    </xf>
    <xf numFmtId="1" fontId="14" fillId="16" borderId="5" xfId="2" applyNumberFormat="1" applyFont="1" applyFill="1" applyBorder="1" applyAlignment="1">
      <alignment horizontal="center" vertical="center" wrapText="1"/>
    </xf>
    <xf numFmtId="0" fontId="10" fillId="0" borderId="0" xfId="0" applyFont="1"/>
    <xf numFmtId="167" fontId="4" fillId="0" borderId="0" xfId="0" applyNumberFormat="1" applyFont="1" applyAlignment="1">
      <alignment horizontal="right" vertical="center" wrapText="1"/>
    </xf>
    <xf numFmtId="167" fontId="4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4" fontId="4" fillId="0" borderId="0" xfId="0" applyNumberFormat="1" applyFont="1" applyAlignment="1">
      <alignment horizontal="right" vertical="center" wrapText="1"/>
    </xf>
    <xf numFmtId="4" fontId="4" fillId="0" borderId="15" xfId="0" applyNumberFormat="1" applyFont="1" applyBorder="1" applyAlignment="1">
      <alignment horizontal="right" vertical="center" wrapText="1"/>
    </xf>
    <xf numFmtId="167" fontId="4" fillId="0" borderId="15" xfId="0" applyNumberFormat="1" applyFont="1" applyBorder="1" applyAlignment="1">
      <alignment horizontal="right" vertical="center" wrapText="1"/>
    </xf>
    <xf numFmtId="15" fontId="17" fillId="0" borderId="6" xfId="0" applyNumberFormat="1" applyFont="1" applyBorder="1" applyAlignment="1">
      <alignment horizontal="center"/>
    </xf>
    <xf numFmtId="0" fontId="18" fillId="2" borderId="5" xfId="0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right"/>
    </xf>
    <xf numFmtId="0" fontId="0" fillId="17" borderId="0" xfId="0" applyFill="1"/>
    <xf numFmtId="0" fontId="0" fillId="17" borderId="5" xfId="0" applyFill="1" applyBorder="1"/>
    <xf numFmtId="0" fontId="22" fillId="0" borderId="0" xfId="0" applyFont="1"/>
    <xf numFmtId="168" fontId="4" fillId="0" borderId="0" xfId="0" applyNumberFormat="1" applyFont="1" applyAlignment="1">
      <alignment horizontal="right" vertical="center" wrapText="1"/>
    </xf>
    <xf numFmtId="168" fontId="4" fillId="0" borderId="13" xfId="0" applyNumberFormat="1" applyFont="1" applyBorder="1" applyAlignment="1">
      <alignment horizontal="right" vertical="center" wrapText="1"/>
    </xf>
    <xf numFmtId="168" fontId="4" fillId="0" borderId="15" xfId="0" applyNumberFormat="1" applyFont="1" applyBorder="1" applyAlignment="1">
      <alignment horizontal="right" vertical="center" wrapText="1"/>
    </xf>
    <xf numFmtId="168" fontId="4" fillId="0" borderId="16" xfId="0" applyNumberFormat="1" applyFont="1" applyBorder="1" applyAlignment="1">
      <alignment horizontal="right" vertical="center" wrapText="1"/>
    </xf>
    <xf numFmtId="168" fontId="4" fillId="0" borderId="5" xfId="0" applyNumberFormat="1" applyFont="1" applyBorder="1" applyAlignment="1">
      <alignment horizontal="right" vertical="center" wrapText="1"/>
    </xf>
    <xf numFmtId="168" fontId="4" fillId="0" borderId="5" xfId="0" applyNumberFormat="1" applyFont="1" applyBorder="1" applyAlignment="1">
      <alignment vertical="center" wrapText="1"/>
    </xf>
    <xf numFmtId="169" fontId="4" fillId="0" borderId="0" xfId="0" applyNumberFormat="1" applyFont="1" applyAlignment="1">
      <alignment horizontal="right" vertical="center" wrapText="1"/>
    </xf>
    <xf numFmtId="169" fontId="4" fillId="0" borderId="13" xfId="0" applyNumberFormat="1" applyFont="1" applyBorder="1" applyAlignment="1">
      <alignment horizontal="right" vertical="center" wrapText="1"/>
    </xf>
    <xf numFmtId="169" fontId="4" fillId="0" borderId="15" xfId="0" applyNumberFormat="1" applyFont="1" applyBorder="1" applyAlignment="1">
      <alignment horizontal="right" vertical="center" wrapText="1"/>
    </xf>
    <xf numFmtId="169" fontId="4" fillId="0" borderId="16" xfId="0" applyNumberFormat="1" applyFont="1" applyBorder="1" applyAlignment="1">
      <alignment horizontal="right" vertical="center" wrapText="1"/>
    </xf>
    <xf numFmtId="169" fontId="4" fillId="0" borderId="5" xfId="0" applyNumberFormat="1" applyFont="1" applyBorder="1" applyAlignment="1">
      <alignment vertical="center" wrapText="1"/>
    </xf>
    <xf numFmtId="169" fontId="4" fillId="0" borderId="5" xfId="0" applyNumberFormat="1" applyFont="1" applyBorder="1" applyAlignment="1">
      <alignment horizontal="right" vertical="center" wrapText="1"/>
    </xf>
    <xf numFmtId="15" fontId="4" fillId="0" borderId="12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5" fontId="4" fillId="0" borderId="14" xfId="0" applyNumberFormat="1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" fontId="4" fillId="0" borderId="13" xfId="0" applyNumberFormat="1" applyFont="1" applyBorder="1" applyAlignment="1">
      <alignment horizontal="right" vertical="center" wrapText="1"/>
    </xf>
    <xf numFmtId="4" fontId="4" fillId="0" borderId="16" xfId="0" applyNumberFormat="1" applyFont="1" applyBorder="1" applyAlignment="1">
      <alignment horizontal="right" vertical="center" wrapText="1"/>
    </xf>
    <xf numFmtId="4" fontId="4" fillId="0" borderId="5" xfId="0" applyNumberFormat="1" applyFont="1" applyBorder="1" applyAlignment="1">
      <alignment vertical="center" wrapText="1"/>
    </xf>
    <xf numFmtId="4" fontId="4" fillId="0" borderId="5" xfId="0" applyNumberFormat="1" applyFont="1" applyBorder="1" applyAlignment="1">
      <alignment horizontal="right" vertical="center" wrapText="1"/>
    </xf>
    <xf numFmtId="1" fontId="14" fillId="6" borderId="5" xfId="0" applyNumberFormat="1" applyFont="1" applyFill="1" applyBorder="1" applyAlignment="1">
      <alignment horizontal="center" vertical="center"/>
    </xf>
    <xf numFmtId="43" fontId="10" fillId="15" borderId="5" xfId="1" applyFont="1" applyFill="1" applyBorder="1" applyAlignment="1">
      <alignment horizontal="center" vertical="center"/>
    </xf>
    <xf numFmtId="0" fontId="16" fillId="0" borderId="5" xfId="0" applyFont="1" applyBorder="1"/>
    <xf numFmtId="0" fontId="0" fillId="17" borderId="4" xfId="0" applyFill="1" applyBorder="1"/>
    <xf numFmtId="0" fontId="10" fillId="7" borderId="5" xfId="2" applyNumberFormat="1" applyFont="1" applyFill="1" applyBorder="1" applyAlignment="1">
      <alignment horizontal="center" vertical="center" wrapText="1"/>
    </xf>
    <xf numFmtId="43" fontId="10" fillId="3" borderId="5" xfId="1" applyFont="1" applyFill="1" applyBorder="1" applyAlignment="1">
      <alignment horizontal="center" vertical="center" wrapText="1"/>
    </xf>
    <xf numFmtId="0" fontId="10" fillId="3" borderId="5" xfId="2" applyNumberFormat="1" applyFont="1" applyFill="1" applyBorder="1" applyAlignment="1">
      <alignment horizontal="center" vertical="center" wrapText="1"/>
    </xf>
    <xf numFmtId="0" fontId="10" fillId="4" borderId="5" xfId="2" applyNumberFormat="1" applyFont="1" applyFill="1" applyBorder="1" applyAlignment="1">
      <alignment horizontal="center" vertical="center" wrapText="1"/>
    </xf>
    <xf numFmtId="166" fontId="10" fillId="6" borderId="5" xfId="1" applyNumberFormat="1" applyFont="1" applyFill="1" applyBorder="1" applyAlignment="1">
      <alignment horizontal="center" vertical="center" wrapText="1"/>
    </xf>
    <xf numFmtId="0" fontId="10" fillId="6" borderId="5" xfId="2" applyNumberFormat="1" applyFont="1" applyFill="1" applyBorder="1" applyAlignment="1">
      <alignment horizontal="center" vertical="center" wrapText="1"/>
    </xf>
    <xf numFmtId="0" fontId="10" fillId="9" borderId="5" xfId="3" applyFont="1" applyFill="1" applyBorder="1" applyAlignment="1">
      <alignment horizontal="center" vertical="center" wrapText="1"/>
    </xf>
    <xf numFmtId="2" fontId="10" fillId="6" borderId="5" xfId="0" applyNumberFormat="1" applyFont="1" applyFill="1" applyBorder="1" applyAlignment="1">
      <alignment horizontal="center" vertical="center" wrapText="1"/>
    </xf>
    <xf numFmtId="43" fontId="10" fillId="10" borderId="5" xfId="1" applyFont="1" applyFill="1" applyBorder="1" applyAlignment="1">
      <alignment horizontal="center" vertical="center" wrapText="1"/>
    </xf>
    <xf numFmtId="2" fontId="10" fillId="5" borderId="5" xfId="0" applyNumberFormat="1" applyFont="1" applyFill="1" applyBorder="1" applyAlignment="1">
      <alignment horizontal="center" vertical="center" wrapText="1"/>
    </xf>
    <xf numFmtId="165" fontId="14" fillId="12" borderId="5" xfId="2" applyNumberFormat="1" applyFont="1" applyFill="1" applyBorder="1" applyAlignment="1" applyProtection="1">
      <alignment horizontal="center" vertical="center"/>
    </xf>
    <xf numFmtId="2" fontId="14" fillId="14" borderId="5" xfId="0" applyNumberFormat="1" applyFont="1" applyFill="1" applyBorder="1" applyAlignment="1">
      <alignment horizontal="center"/>
    </xf>
    <xf numFmtId="4" fontId="14" fillId="6" borderId="5" xfId="0" applyNumberFormat="1" applyFont="1" applyFill="1" applyBorder="1" applyAlignment="1">
      <alignment horizontal="center" vertical="center"/>
    </xf>
    <xf numFmtId="0" fontId="10" fillId="0" borderId="5" xfId="0" applyFont="1" applyBorder="1"/>
    <xf numFmtId="0" fontId="15" fillId="14" borderId="5" xfId="0" applyFont="1" applyFill="1" applyBorder="1"/>
    <xf numFmtId="0" fontId="15" fillId="0" borderId="5" xfId="0" applyFont="1" applyBorder="1"/>
    <xf numFmtId="43" fontId="14" fillId="3" borderId="5" xfId="1" applyFont="1" applyFill="1" applyBorder="1" applyAlignment="1">
      <alignment horizontal="right" vertical="center"/>
    </xf>
    <xf numFmtId="0" fontId="15" fillId="15" borderId="5" xfId="0" applyFont="1" applyFill="1" applyBorder="1"/>
    <xf numFmtId="0" fontId="23" fillId="0" borderId="0" xfId="0" applyFont="1"/>
    <xf numFmtId="0" fontId="10" fillId="0" borderId="0" xfId="4" applyFont="1" applyFill="1" applyBorder="1" applyAlignment="1" applyProtection="1">
      <alignment horizontal="left" wrapText="1"/>
    </xf>
    <xf numFmtId="1" fontId="14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3" fontId="14" fillId="0" borderId="0" xfId="1" applyFont="1" applyFill="1" applyBorder="1" applyAlignment="1" applyProtection="1">
      <alignment horizontal="center" vertical="center"/>
      <protection locked="0"/>
    </xf>
    <xf numFmtId="43" fontId="14" fillId="0" borderId="0" xfId="1" applyFont="1" applyFill="1" applyBorder="1" applyAlignment="1">
      <alignment horizontal="right" vertical="center"/>
    </xf>
    <xf numFmtId="43" fontId="25" fillId="0" borderId="0" xfId="1" applyFont="1" applyFill="1" applyBorder="1" applyAlignment="1">
      <alignment horizontal="center" vertical="center"/>
    </xf>
    <xf numFmtId="43" fontId="10" fillId="0" borderId="0" xfId="1" applyFont="1" applyFill="1" applyBorder="1" applyAlignment="1">
      <alignment horizontal="center" vertical="center"/>
    </xf>
    <xf numFmtId="1" fontId="10" fillId="0" borderId="0" xfId="2" applyNumberFormat="1" applyFont="1" applyFill="1" applyBorder="1" applyAlignment="1">
      <alignment horizontal="center" vertical="center" wrapText="1"/>
    </xf>
    <xf numFmtId="165" fontId="14" fillId="0" borderId="0" xfId="2" applyNumberFormat="1" applyFont="1" applyFill="1" applyBorder="1" applyAlignment="1" applyProtection="1">
      <alignment horizontal="center" vertical="center"/>
    </xf>
    <xf numFmtId="166" fontId="24" fillId="0" borderId="0" xfId="1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4" fontId="14" fillId="0" borderId="5" xfId="1" applyNumberFormat="1" applyFont="1" applyFill="1" applyBorder="1" applyAlignment="1">
      <alignment horizontal="right" vertical="center" wrapText="1"/>
    </xf>
    <xf numFmtId="0" fontId="23" fillId="21" borderId="5" xfId="0" applyFont="1" applyFill="1" applyBorder="1" applyAlignment="1">
      <alignment horizontal="center"/>
    </xf>
    <xf numFmtId="1" fontId="14" fillId="6" borderId="5" xfId="0" applyNumberFormat="1" applyFont="1" applyFill="1" applyBorder="1" applyAlignment="1" applyProtection="1">
      <alignment horizontal="center" vertical="center"/>
      <protection locked="0"/>
    </xf>
    <xf numFmtId="1" fontId="23" fillId="6" borderId="5" xfId="0" applyNumberFormat="1" applyFont="1" applyFill="1" applyBorder="1" applyAlignment="1">
      <alignment horizontal="right" vertical="center"/>
    </xf>
    <xf numFmtId="1" fontId="23" fillId="6" borderId="5" xfId="0" applyNumberFormat="1" applyFont="1" applyFill="1" applyBorder="1" applyAlignment="1">
      <alignment horizontal="center" vertical="center"/>
    </xf>
    <xf numFmtId="1" fontId="14" fillId="14" borderId="5" xfId="0" applyNumberFormat="1" applyFont="1" applyFill="1" applyBorder="1" applyAlignment="1" applyProtection="1">
      <alignment horizontal="center" vertical="center"/>
      <protection locked="0"/>
    </xf>
    <xf numFmtId="43" fontId="14" fillId="14" borderId="5" xfId="1" applyFont="1" applyFill="1" applyBorder="1" applyAlignment="1" applyProtection="1">
      <alignment horizontal="center" vertical="center"/>
      <protection locked="0"/>
    </xf>
    <xf numFmtId="1" fontId="14" fillId="0" borderId="5" xfId="2" applyNumberFormat="1" applyFont="1" applyFill="1" applyBorder="1" applyAlignment="1">
      <alignment horizontal="center" vertical="center" wrapText="1"/>
    </xf>
    <xf numFmtId="1" fontId="10" fillId="0" borderId="5" xfId="2" applyNumberFormat="1" applyFont="1" applyFill="1" applyBorder="1" applyAlignment="1">
      <alignment horizontal="center" vertical="center" wrapText="1"/>
    </xf>
    <xf numFmtId="43" fontId="10" fillId="4" borderId="5" xfId="1" applyFont="1" applyFill="1" applyBorder="1" applyAlignment="1">
      <alignment horizontal="center" vertical="center"/>
    </xf>
    <xf numFmtId="1" fontId="10" fillId="4" borderId="5" xfId="2" applyNumberFormat="1" applyFont="1" applyFill="1" applyBorder="1" applyAlignment="1">
      <alignment horizontal="center" vertical="center" wrapText="1"/>
    </xf>
    <xf numFmtId="43" fontId="10" fillId="4" borderId="5" xfId="1" applyFont="1" applyFill="1" applyBorder="1" applyAlignment="1">
      <alignment horizontal="right" vertical="center"/>
    </xf>
    <xf numFmtId="43" fontId="10" fillId="0" borderId="5" xfId="1" applyFont="1" applyBorder="1" applyAlignment="1">
      <alignment horizontal="center" vertical="center"/>
    </xf>
    <xf numFmtId="4" fontId="10" fillId="4" borderId="5" xfId="1" applyNumberFormat="1" applyFont="1" applyFill="1" applyBorder="1" applyAlignment="1">
      <alignment horizontal="center" vertical="center"/>
    </xf>
    <xf numFmtId="43" fontId="14" fillId="6" borderId="5" xfId="1" applyFont="1" applyFill="1" applyBorder="1" applyAlignment="1">
      <alignment horizontal="center"/>
    </xf>
    <xf numFmtId="43" fontId="10" fillId="0" borderId="5" xfId="1" applyFont="1" applyBorder="1" applyAlignment="1">
      <alignment horizontal="right" vertical="center"/>
    </xf>
    <xf numFmtId="2" fontId="10" fillId="14" borderId="5" xfId="0" applyNumberFormat="1" applyFont="1" applyFill="1" applyBorder="1" applyAlignment="1">
      <alignment horizontal="center"/>
    </xf>
    <xf numFmtId="0" fontId="16" fillId="14" borderId="5" xfId="0" applyFont="1" applyFill="1" applyBorder="1"/>
    <xf numFmtId="0" fontId="10" fillId="14" borderId="5" xfId="0" applyFont="1" applyFill="1" applyBorder="1"/>
    <xf numFmtId="43" fontId="10" fillId="19" borderId="5" xfId="1" applyFont="1" applyFill="1" applyBorder="1" applyAlignment="1">
      <alignment horizontal="right" vertical="center"/>
    </xf>
    <xf numFmtId="43" fontId="14" fillId="19" borderId="5" xfId="1" applyFont="1" applyFill="1" applyBorder="1" applyAlignment="1">
      <alignment horizontal="right" vertical="center"/>
    </xf>
    <xf numFmtId="0" fontId="10" fillId="6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43" fontId="23" fillId="4" borderId="5" xfId="1" applyFont="1" applyFill="1" applyBorder="1" applyAlignment="1">
      <alignment horizontal="right" vertical="center"/>
    </xf>
    <xf numFmtId="43" fontId="23" fillId="18" borderId="5" xfId="1" applyFont="1" applyFill="1" applyBorder="1" applyAlignment="1">
      <alignment horizontal="right" vertical="center"/>
    </xf>
    <xf numFmtId="43" fontId="23" fillId="15" borderId="5" xfId="1" applyFont="1" applyFill="1" applyBorder="1" applyAlignment="1">
      <alignment horizontal="right" vertical="center"/>
    </xf>
    <xf numFmtId="3" fontId="23" fillId="18" borderId="5" xfId="1" applyNumberFormat="1" applyFont="1" applyFill="1" applyBorder="1" applyAlignment="1">
      <alignment horizontal="right" vertical="center"/>
    </xf>
    <xf numFmtId="3" fontId="23" fillId="15" borderId="5" xfId="1" applyNumberFormat="1" applyFont="1" applyFill="1" applyBorder="1" applyAlignment="1">
      <alignment horizontal="right" vertical="center"/>
    </xf>
    <xf numFmtId="1" fontId="10" fillId="4" borderId="5" xfId="0" applyNumberFormat="1" applyFont="1" applyFill="1" applyBorder="1" applyAlignment="1" applyProtection="1">
      <alignment horizontal="center" vertical="center"/>
      <protection locked="0"/>
    </xf>
    <xf numFmtId="1" fontId="10" fillId="4" borderId="5" xfId="2" applyNumberFormat="1" applyFont="1" applyFill="1" applyBorder="1" applyAlignment="1" applyProtection="1">
      <alignment horizontal="center" vertical="center"/>
      <protection locked="0"/>
    </xf>
    <xf numFmtId="1" fontId="10" fillId="4" borderId="5" xfId="2" applyNumberFormat="1" applyFont="1" applyFill="1" applyBorder="1" applyAlignment="1" applyProtection="1">
      <alignment horizontal="center" vertical="center"/>
      <protection locked="0" hidden="1"/>
    </xf>
    <xf numFmtId="1" fontId="10" fillId="4" borderId="5" xfId="1" applyNumberFormat="1" applyFont="1" applyFill="1" applyBorder="1" applyAlignment="1" applyProtection="1">
      <alignment horizontal="center" vertical="center"/>
      <protection locked="0"/>
    </xf>
    <xf numFmtId="1" fontId="14" fillId="6" borderId="5" xfId="2" applyNumberFormat="1" applyFont="1" applyFill="1" applyBorder="1" applyAlignment="1" applyProtection="1">
      <alignment horizontal="center" vertical="center"/>
      <protection locked="0"/>
    </xf>
    <xf numFmtId="1" fontId="14" fillId="0" borderId="5" xfId="2" applyNumberFormat="1" applyFont="1" applyFill="1" applyBorder="1" applyAlignment="1" applyProtection="1">
      <alignment horizontal="center" vertical="center"/>
      <protection locked="0"/>
    </xf>
    <xf numFmtId="1" fontId="14" fillId="6" borderId="5" xfId="2" applyNumberFormat="1" applyFont="1" applyFill="1" applyBorder="1" applyAlignment="1" applyProtection="1">
      <alignment horizontal="center" vertical="center"/>
      <protection locked="0" hidden="1"/>
    </xf>
    <xf numFmtId="1" fontId="14" fillId="6" borderId="5" xfId="1" applyNumberFormat="1" applyFont="1" applyFill="1" applyBorder="1" applyAlignment="1" applyProtection="1">
      <alignment horizontal="center" vertical="center"/>
      <protection locked="0"/>
    </xf>
    <xf numFmtId="1" fontId="14" fillId="0" borderId="5" xfId="0" applyNumberFormat="1" applyFont="1" applyBorder="1" applyAlignment="1" applyProtection="1">
      <alignment horizontal="center" vertical="center"/>
      <protection locked="0"/>
    </xf>
    <xf numFmtId="4" fontId="14" fillId="19" borderId="5" xfId="0" applyNumberFormat="1" applyFont="1" applyFill="1" applyBorder="1" applyProtection="1">
      <protection locked="0"/>
    </xf>
    <xf numFmtId="43" fontId="14" fillId="20" borderId="5" xfId="1" applyFont="1" applyFill="1" applyBorder="1" applyAlignment="1" applyProtection="1">
      <alignment horizontal="center" vertical="center"/>
      <protection locked="0"/>
    </xf>
    <xf numFmtId="43" fontId="14" fillId="19" borderId="5" xfId="1" applyFont="1" applyFill="1" applyBorder="1" applyAlignment="1" applyProtection="1">
      <alignment horizontal="center" vertical="center"/>
      <protection locked="0"/>
    </xf>
    <xf numFmtId="165" fontId="14" fillId="5" borderId="5" xfId="2" applyNumberFormat="1" applyFont="1" applyFill="1" applyBorder="1" applyAlignment="1" applyProtection="1">
      <alignment horizontal="center" vertical="center"/>
    </xf>
    <xf numFmtId="166" fontId="14" fillId="0" borderId="5" xfId="1" applyNumberFormat="1" applyFont="1" applyFill="1" applyBorder="1" applyAlignment="1">
      <alignment horizontal="left" vertical="center"/>
    </xf>
    <xf numFmtId="2" fontId="14" fillId="22" borderId="5" xfId="0" applyNumberFormat="1" applyFont="1" applyFill="1" applyBorder="1" applyAlignment="1">
      <alignment horizontal="center"/>
    </xf>
    <xf numFmtId="0" fontId="10" fillId="14" borderId="5" xfId="0" applyFont="1" applyFill="1" applyBorder="1" applyAlignment="1">
      <alignment horizontal="left" vertical="center"/>
    </xf>
    <xf numFmtId="171" fontId="14" fillId="14" borderId="5" xfId="0" applyNumberFormat="1" applyFont="1" applyFill="1" applyBorder="1" applyAlignment="1">
      <alignment horizontal="center"/>
    </xf>
    <xf numFmtId="43" fontId="14" fillId="6" borderId="5" xfId="1" applyFont="1" applyFill="1" applyBorder="1" applyAlignment="1">
      <alignment horizontal="center" vertical="center"/>
    </xf>
    <xf numFmtId="4" fontId="14" fillId="6" borderId="5" xfId="1" applyNumberFormat="1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left" vertical="center"/>
    </xf>
    <xf numFmtId="4" fontId="10" fillId="4" borderId="5" xfId="0" applyNumberFormat="1" applyFont="1" applyFill="1" applyBorder="1" applyAlignment="1" applyProtection="1">
      <alignment horizontal="center" vertical="center"/>
      <protection locked="0"/>
    </xf>
    <xf numFmtId="166" fontId="14" fillId="0" borderId="5" xfId="1" applyNumberFormat="1" applyFont="1" applyFill="1" applyBorder="1" applyAlignment="1">
      <alignment horizontal="left" vertical="center" wrapText="1"/>
    </xf>
    <xf numFmtId="4" fontId="10" fillId="23" borderId="5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5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15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9" fontId="20" fillId="0" borderId="6" xfId="0" applyNumberFormat="1" applyFont="1" applyBorder="1" applyAlignment="1">
      <alignment horizontal="right"/>
    </xf>
    <xf numFmtId="169" fontId="20" fillId="0" borderId="7" xfId="0" applyNumberFormat="1" applyFont="1" applyBorder="1" applyAlignment="1">
      <alignment horizontal="right"/>
    </xf>
    <xf numFmtId="0" fontId="19" fillId="0" borderId="6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0" fontId="21" fillId="2" borderId="6" xfId="0" applyFont="1" applyFill="1" applyBorder="1" applyAlignment="1">
      <alignment horizontal="left" vertical="center" wrapText="1"/>
    </xf>
    <xf numFmtId="0" fontId="21" fillId="2" borderId="8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center" wrapText="1" indent="9"/>
    </xf>
    <xf numFmtId="0" fontId="2" fillId="2" borderId="8" xfId="0" applyFont="1" applyFill="1" applyBorder="1" applyAlignment="1">
      <alignment horizontal="right" vertical="center" wrapText="1" indent="9"/>
    </xf>
    <xf numFmtId="0" fontId="2" fillId="2" borderId="7" xfId="0" applyFont="1" applyFill="1" applyBorder="1" applyAlignment="1">
      <alignment horizontal="right" vertical="center" wrapText="1" indent="9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8" fontId="20" fillId="0" borderId="6" xfId="0" applyNumberFormat="1" applyFont="1" applyBorder="1" applyAlignment="1">
      <alignment horizontal="right"/>
    </xf>
    <xf numFmtId="168" fontId="20" fillId="0" borderId="7" xfId="0" applyNumberFormat="1" applyFont="1" applyBorder="1" applyAlignment="1">
      <alignment horizontal="right"/>
    </xf>
    <xf numFmtId="4" fontId="20" fillId="0" borderId="6" xfId="0" applyNumberFormat="1" applyFont="1" applyBorder="1" applyAlignment="1">
      <alignment horizontal="right"/>
    </xf>
    <xf numFmtId="4" fontId="20" fillId="0" borderId="7" xfId="0" applyNumberFormat="1" applyFont="1" applyBorder="1" applyAlignment="1">
      <alignment horizontal="right"/>
    </xf>
    <xf numFmtId="0" fontId="10" fillId="13" borderId="5" xfId="0" applyFont="1" applyFill="1" applyBorder="1" applyProtection="1">
      <protection locked="0"/>
    </xf>
    <xf numFmtId="0" fontId="10" fillId="13" borderId="5" xfId="0" applyFont="1" applyFill="1" applyBorder="1" applyAlignment="1">
      <alignment horizontal="center"/>
    </xf>
    <xf numFmtId="0" fontId="14" fillId="13" borderId="5" xfId="0" applyFont="1" applyFill="1" applyBorder="1" applyAlignment="1">
      <alignment horizontal="center"/>
    </xf>
    <xf numFmtId="0" fontId="10" fillId="13" borderId="5" xfId="4" applyFont="1" applyFill="1" applyBorder="1" applyAlignment="1" applyProtection="1">
      <alignment horizontal="left" wrapText="1"/>
    </xf>
    <xf numFmtId="4" fontId="10" fillId="3" borderId="5" xfId="1" applyNumberFormat="1" applyFont="1" applyFill="1" applyBorder="1" applyAlignment="1" applyProtection="1">
      <alignment horizontal="center" vertical="center"/>
      <protection locked="0"/>
    </xf>
    <xf numFmtId="0" fontId="14" fillId="13" borderId="5" xfId="0" applyFont="1" applyFill="1" applyBorder="1" applyProtection="1">
      <protection locked="0"/>
    </xf>
    <xf numFmtId="4" fontId="10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13" borderId="5" xfId="0" applyFont="1" applyFill="1" applyBorder="1" applyAlignment="1">
      <alignment horizontal="left"/>
    </xf>
    <xf numFmtId="49" fontId="10" fillId="13" borderId="5" xfId="0" applyNumberFormat="1" applyFont="1" applyFill="1" applyBorder="1"/>
    <xf numFmtId="49" fontId="14" fillId="13" borderId="5" xfId="0" applyNumberFormat="1" applyFont="1" applyFill="1" applyBorder="1"/>
  </cellXfs>
  <cellStyles count="6">
    <cellStyle name="Comma" xfId="1" builtinId="3"/>
    <cellStyle name="Currency 2" xfId="5" xr:uid="{D5711515-42E6-441B-B126-A3FB0D36470D}"/>
    <cellStyle name="Currency 2 4" xfId="2" xr:uid="{A4F60278-E001-49C1-9F4E-9DEDC90BEF56}"/>
    <cellStyle name="Hyperlink" xfId="4" builtinId="8"/>
    <cellStyle name="Normal" xfId="0" builtinId="0"/>
    <cellStyle name="Normal 2" xfId="3" xr:uid="{E6868AA9-A3E3-4CF5-897B-C880D9ACCABA}"/>
  </cellStyles>
  <dxfs count="78"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381277</xdr:colOff>
      <xdr:row>1</xdr:row>
      <xdr:rowOff>101186</xdr:rowOff>
    </xdr:from>
    <xdr:to>
      <xdr:col>8</xdr:col>
      <xdr:colOff>353622</xdr:colOff>
      <xdr:row>10</xdr:row>
      <xdr:rowOff>11044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47195080-2EE1-468D-9532-AD8D374B6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58994" y="283403"/>
          <a:ext cx="2708919" cy="15434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396875</xdr:colOff>
      <xdr:row>1</xdr:row>
      <xdr:rowOff>47625</xdr:rowOff>
    </xdr:from>
    <xdr:to>
      <xdr:col>9</xdr:col>
      <xdr:colOff>64135</xdr:colOff>
      <xdr:row>9</xdr:row>
      <xdr:rowOff>158750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FEF446AA-F0BE-4A58-90AE-D18132F6F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35275" y="228600"/>
          <a:ext cx="2718435" cy="1558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1</xdr:row>
      <xdr:rowOff>28575</xdr:rowOff>
    </xdr:from>
    <xdr:to>
      <xdr:col>9</xdr:col>
      <xdr:colOff>64135</xdr:colOff>
      <xdr:row>9</xdr:row>
      <xdr:rowOff>142875</xdr:rowOff>
    </xdr:to>
    <xdr:pic>
      <xdr:nvPicPr>
        <xdr:cNvPr id="6" name="image1.jpeg">
          <a:extLst>
            <a:ext uri="{FF2B5EF4-FFF2-40B4-BE49-F238E27FC236}">
              <a16:creationId xmlns:a16="http://schemas.microsoft.com/office/drawing/2014/main" id="{8B6D7605-E17E-47A2-A55A-5005F4DF8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0" y="206375"/>
          <a:ext cx="2712085" cy="15652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ADA9-03E1-4B66-AFBD-CEAF55A3C3E1}">
  <dimension ref="A1:LA20"/>
  <sheetViews>
    <sheetView tabSelected="1" zoomScale="85" zoomScaleNormal="85" workbookViewId="0">
      <selection activeCell="A9" sqref="A9:XFD9"/>
    </sheetView>
  </sheetViews>
  <sheetFormatPr defaultRowHeight="15" x14ac:dyDescent="0.25"/>
  <cols>
    <col min="1" max="1" width="9.140625" bestFit="1" customWidth="1"/>
    <col min="2" max="2" width="25.85546875" bestFit="1" customWidth="1"/>
    <col min="3" max="3" width="18.140625" bestFit="1" customWidth="1"/>
    <col min="4" max="4" width="8.5703125" customWidth="1"/>
    <col min="5" max="5" width="13.7109375" customWidth="1"/>
    <col min="6" max="6" width="11.7109375" customWidth="1"/>
    <col min="7" max="7" width="14.7109375" bestFit="1" customWidth="1"/>
    <col min="8" max="8" width="15.85546875" customWidth="1"/>
    <col min="9" max="9" width="8.140625" customWidth="1"/>
    <col min="10" max="10" width="14.140625" customWidth="1"/>
    <col min="11" max="11" width="15.28515625" customWidth="1"/>
    <col min="12" max="12" width="11.5703125" customWidth="1"/>
    <col min="13" max="13" width="10.42578125" bestFit="1" customWidth="1"/>
    <col min="14" max="14" width="13.28515625" customWidth="1"/>
    <col min="15" max="15" width="14.140625" customWidth="1"/>
    <col min="16" max="16" width="13" customWidth="1"/>
    <col min="17" max="18" width="10.42578125" bestFit="1" customWidth="1"/>
    <col min="19" max="19" width="7.85546875" bestFit="1" customWidth="1"/>
    <col min="20" max="20" width="14.7109375" customWidth="1"/>
    <col min="21" max="21" width="12.42578125" customWidth="1"/>
    <col min="22" max="22" width="18.42578125" customWidth="1"/>
    <col min="23" max="23" width="14.28515625" customWidth="1"/>
    <col min="24" max="24" width="14" customWidth="1"/>
    <col min="25" max="25" width="12" customWidth="1"/>
    <col min="26" max="26" width="13.28515625" customWidth="1"/>
    <col min="27" max="27" width="10.7109375" customWidth="1"/>
    <col min="28" max="28" width="8.140625" bestFit="1" customWidth="1"/>
    <col min="29" max="29" width="13.42578125" customWidth="1"/>
    <col min="30" max="30" width="11.85546875" customWidth="1"/>
    <col min="31" max="31" width="13.85546875" customWidth="1"/>
    <col min="32" max="32" width="13.140625" customWidth="1"/>
    <col min="33" max="33" width="14.28515625" customWidth="1"/>
    <col min="34" max="34" width="9.7109375" customWidth="1"/>
    <col min="35" max="35" width="10.140625" customWidth="1"/>
    <col min="36" max="36" width="10.28515625" customWidth="1"/>
    <col min="37" max="37" width="16" customWidth="1"/>
    <col min="38" max="38" width="14.7109375" bestFit="1" customWidth="1"/>
    <col min="39" max="39" width="10.140625" customWidth="1"/>
    <col min="40" max="40" width="12.42578125" customWidth="1"/>
    <col min="41" max="41" width="13" customWidth="1"/>
    <col min="42" max="42" width="10.5703125" bestFit="1" customWidth="1"/>
    <col min="43" max="43" width="71.42578125" bestFit="1" customWidth="1"/>
    <col min="44" max="44" width="14.42578125" customWidth="1"/>
    <col min="45" max="45" width="37" bestFit="1" customWidth="1"/>
    <col min="46" max="46" width="15" customWidth="1"/>
  </cols>
  <sheetData>
    <row r="1" spans="1:313" ht="103.5" customHeight="1" thickBot="1" x14ac:dyDescent="0.35">
      <c r="A1" s="37" t="s">
        <v>58</v>
      </c>
    </row>
    <row r="2" spans="1:313" ht="15.75" thickBot="1" x14ac:dyDescent="0.3">
      <c r="A2" s="149" t="s">
        <v>4</v>
      </c>
      <c r="B2" s="150"/>
      <c r="C2" s="149" t="s">
        <v>5</v>
      </c>
      <c r="D2" s="150"/>
      <c r="E2" s="149" t="s">
        <v>52</v>
      </c>
      <c r="F2" s="154"/>
      <c r="G2" s="154"/>
      <c r="H2" s="5" t="s">
        <v>54</v>
      </c>
    </row>
    <row r="3" spans="1:313" ht="24.75" thickBot="1" x14ac:dyDescent="0.3">
      <c r="A3" s="151" t="s">
        <v>78</v>
      </c>
      <c r="B3" s="152"/>
      <c r="C3" s="153" t="s">
        <v>79</v>
      </c>
      <c r="D3" s="152"/>
      <c r="E3" s="155">
        <v>45900</v>
      </c>
      <c r="F3" s="151"/>
      <c r="G3" s="156"/>
      <c r="H3" s="5" t="str">
        <f>+AS9</f>
        <v>Calculated in XAF Paid in XAF</v>
      </c>
    </row>
    <row r="7" spans="1:313" ht="60" x14ac:dyDescent="0.25">
      <c r="A7" s="6" t="s">
        <v>36</v>
      </c>
      <c r="B7" s="6" t="s">
        <v>37</v>
      </c>
      <c r="C7" s="6" t="s">
        <v>38</v>
      </c>
      <c r="D7" s="6" t="s">
        <v>39</v>
      </c>
      <c r="E7" s="6" t="s">
        <v>61</v>
      </c>
      <c r="F7" s="66" t="s">
        <v>62</v>
      </c>
      <c r="G7" s="67" t="s">
        <v>40</v>
      </c>
      <c r="H7" s="68" t="s">
        <v>21</v>
      </c>
      <c r="I7" s="68" t="s">
        <v>22</v>
      </c>
      <c r="J7" s="68" t="s">
        <v>23</v>
      </c>
      <c r="K7" s="68" t="s">
        <v>24</v>
      </c>
      <c r="L7" s="68" t="s">
        <v>70</v>
      </c>
      <c r="M7" s="68" t="s">
        <v>26</v>
      </c>
      <c r="N7" s="68" t="s">
        <v>60</v>
      </c>
      <c r="O7" s="69" t="s">
        <v>27</v>
      </c>
      <c r="P7" s="66" t="s">
        <v>33</v>
      </c>
      <c r="Q7" s="66" t="s">
        <v>15</v>
      </c>
      <c r="R7" s="66" t="s">
        <v>41</v>
      </c>
      <c r="S7" s="66" t="s">
        <v>34</v>
      </c>
      <c r="T7" s="66" t="s">
        <v>63</v>
      </c>
      <c r="U7" s="69" t="s">
        <v>35</v>
      </c>
      <c r="V7" s="70" t="s">
        <v>28</v>
      </c>
      <c r="W7" s="70" t="s">
        <v>29</v>
      </c>
      <c r="X7" s="71" t="s">
        <v>30</v>
      </c>
      <c r="Y7" s="71" t="s">
        <v>31</v>
      </c>
      <c r="Z7" s="71" t="s">
        <v>32</v>
      </c>
      <c r="AA7" s="71" t="s">
        <v>42</v>
      </c>
      <c r="AB7" s="72" t="s">
        <v>43</v>
      </c>
      <c r="AC7" s="73" t="str">
        <f t="shared" ref="AC7:AH7" si="0">+V7</f>
        <v>Field Bonus/Job Bonus In Country</v>
      </c>
      <c r="AD7" s="73" t="str">
        <f t="shared" si="0"/>
        <v>Rotation Premium -In Country</v>
      </c>
      <c r="AE7" s="73" t="str">
        <f t="shared" si="0"/>
        <v xml:space="preserve">OFFSHORE DAY/Wellsite </v>
      </c>
      <c r="AF7" s="73" t="str">
        <f t="shared" si="0"/>
        <v>Stand By Rate while In Country</v>
      </c>
      <c r="AG7" s="73" t="str">
        <f t="shared" si="0"/>
        <v xml:space="preserve"> Wellsite Rate While On Rotation</v>
      </c>
      <c r="AH7" s="73" t="str">
        <f t="shared" si="0"/>
        <v>Daily Per Diem</v>
      </c>
      <c r="AI7" s="73" t="s">
        <v>44</v>
      </c>
      <c r="AJ7" s="74" t="s">
        <v>45</v>
      </c>
      <c r="AK7" s="75" t="str">
        <f t="shared" ref="AK7:AP7" si="1">+AC7</f>
        <v>Field Bonus/Job Bonus In Country</v>
      </c>
      <c r="AL7" s="75" t="str">
        <f t="shared" si="1"/>
        <v>Rotation Premium -In Country</v>
      </c>
      <c r="AM7" s="75" t="str">
        <f t="shared" si="1"/>
        <v xml:space="preserve">OFFSHORE DAY/Wellsite </v>
      </c>
      <c r="AN7" s="75" t="str">
        <f t="shared" si="1"/>
        <v>Stand By Rate while In Country</v>
      </c>
      <c r="AO7" s="75" t="str">
        <f t="shared" si="1"/>
        <v xml:space="preserve"> Wellsite Rate While On Rotation</v>
      </c>
      <c r="AP7" s="75" t="str">
        <f t="shared" si="1"/>
        <v>Daily Per Diem</v>
      </c>
      <c r="AQ7" s="7" t="s">
        <v>46</v>
      </c>
      <c r="AR7" s="8" t="s">
        <v>47</v>
      </c>
      <c r="AS7" s="9"/>
      <c r="AT7" s="9"/>
      <c r="AU7" s="9"/>
      <c r="AV7" s="10"/>
      <c r="AW7" s="10"/>
    </row>
    <row r="8" spans="1:313" x14ac:dyDescent="0.25">
      <c r="A8" s="36"/>
      <c r="B8" s="36"/>
      <c r="C8" s="36"/>
      <c r="D8" s="36"/>
      <c r="E8" s="36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3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76">
        <f t="shared" ref="AK8:AP9" si="2">+V8*AC8</f>
        <v>0</v>
      </c>
      <c r="AL8" s="76">
        <f t="shared" si="2"/>
        <v>0</v>
      </c>
      <c r="AM8" s="76">
        <f t="shared" si="2"/>
        <v>0</v>
      </c>
      <c r="AN8" s="76">
        <f t="shared" si="2"/>
        <v>0</v>
      </c>
      <c r="AO8" s="76">
        <f t="shared" si="2"/>
        <v>0</v>
      </c>
      <c r="AP8" s="76">
        <f t="shared" si="2"/>
        <v>0</v>
      </c>
      <c r="AQ8" s="65"/>
      <c r="AR8" s="76">
        <f>G8+H8+I8+J8+K8+L8+M8+N8+O8-P8-Q8-S8-T8-U8+AK8+AL8+AM8+AN8+AO8+AP8</f>
        <v>0</v>
      </c>
      <c r="AS8" s="65"/>
      <c r="AT8" s="65"/>
    </row>
    <row r="9" spans="1:313" s="83" customFormat="1" x14ac:dyDescent="0.25">
      <c r="A9" s="202" t="s">
        <v>92</v>
      </c>
      <c r="B9" s="198" t="s">
        <v>86</v>
      </c>
      <c r="C9" s="193" t="s">
        <v>68</v>
      </c>
      <c r="D9" s="194" t="s">
        <v>76</v>
      </c>
      <c r="E9" s="195" t="s">
        <v>72</v>
      </c>
      <c r="F9" s="196" t="s">
        <v>51</v>
      </c>
      <c r="G9" s="148">
        <v>1000000</v>
      </c>
      <c r="H9" s="62"/>
      <c r="I9" s="62"/>
      <c r="J9" s="62"/>
      <c r="K9" s="78"/>
      <c r="L9" s="78"/>
      <c r="M9" s="78"/>
      <c r="N9" s="62"/>
      <c r="O9" s="19"/>
      <c r="P9" s="82"/>
      <c r="Q9" s="104">
        <v>0</v>
      </c>
      <c r="R9" s="12"/>
      <c r="S9" s="18"/>
      <c r="T9" s="18"/>
      <c r="U9" s="18"/>
      <c r="V9" s="101"/>
      <c r="W9" s="101">
        <v>50000</v>
      </c>
      <c r="X9" s="102"/>
      <c r="Y9" s="101"/>
      <c r="Z9" s="101"/>
      <c r="AA9" s="102"/>
      <c r="AB9" s="20" t="s">
        <v>49</v>
      </c>
      <c r="AC9" s="100"/>
      <c r="AD9" s="103">
        <v>5</v>
      </c>
      <c r="AE9" s="100"/>
      <c r="AF9" s="100"/>
      <c r="AG9" s="100"/>
      <c r="AH9" s="100"/>
      <c r="AI9" s="100"/>
      <c r="AJ9" s="100"/>
      <c r="AK9" s="138">
        <f t="shared" si="2"/>
        <v>0</v>
      </c>
      <c r="AL9" s="138">
        <f t="shared" si="2"/>
        <v>250000</v>
      </c>
      <c r="AM9" s="138">
        <f t="shared" si="2"/>
        <v>0</v>
      </c>
      <c r="AN9" s="138">
        <f>+Y9*AF9</f>
        <v>0</v>
      </c>
      <c r="AO9" s="138">
        <f>+Z9*AG9</f>
        <v>0</v>
      </c>
      <c r="AP9" s="138">
        <f>+AA9*AH9</f>
        <v>0</v>
      </c>
      <c r="AQ9" s="147"/>
      <c r="AR9" s="98">
        <f>G9+H9+I9+J9+K9+L9+M9+N9+O9-P9-Q9-S9-T9-U9+AK9+AL9+AM9+AN9+AO9+AP9</f>
        <v>1250000</v>
      </c>
      <c r="AS9" s="99" t="s">
        <v>69</v>
      </c>
      <c r="AT9" s="13" t="s">
        <v>50</v>
      </c>
      <c r="AU9" s="145" t="s">
        <v>77</v>
      </c>
      <c r="AV9" s="142"/>
      <c r="AW9" s="77"/>
      <c r="AX9" s="80"/>
      <c r="AY9" s="80"/>
      <c r="AZ9" s="80"/>
      <c r="BA9" s="80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  <c r="HC9" s="81"/>
      <c r="HD9" s="81"/>
      <c r="HE9" s="81"/>
      <c r="HF9" s="81"/>
      <c r="HG9" s="81"/>
      <c r="HH9" s="81"/>
      <c r="HI9" s="81"/>
      <c r="HJ9" s="81"/>
      <c r="HK9" s="81"/>
      <c r="HL9" s="81"/>
      <c r="HM9" s="81"/>
      <c r="HN9" s="81"/>
      <c r="HO9" s="81"/>
      <c r="HP9" s="81"/>
      <c r="HQ9" s="81"/>
      <c r="HR9" s="81"/>
      <c r="HS9" s="81"/>
      <c r="HT9" s="81"/>
      <c r="HU9" s="81"/>
      <c r="HV9" s="81"/>
      <c r="HW9" s="81"/>
      <c r="HX9" s="81"/>
      <c r="HY9" s="81"/>
      <c r="HZ9" s="81"/>
      <c r="IA9" s="81"/>
      <c r="IB9" s="81"/>
      <c r="IC9" s="81"/>
      <c r="ID9" s="81"/>
      <c r="IE9" s="81"/>
      <c r="IF9" s="81"/>
      <c r="IG9" s="81"/>
      <c r="IH9" s="81"/>
      <c r="II9" s="81"/>
      <c r="IJ9" s="81"/>
      <c r="IK9" s="81"/>
      <c r="IL9" s="81"/>
      <c r="IM9" s="81"/>
      <c r="IN9" s="81"/>
      <c r="IO9" s="81"/>
      <c r="IP9" s="81"/>
      <c r="IQ9" s="81"/>
      <c r="IR9" s="81"/>
      <c r="IS9" s="81"/>
      <c r="IT9" s="81"/>
      <c r="IU9" s="81"/>
      <c r="IV9" s="81"/>
      <c r="IW9" s="81"/>
      <c r="IX9" s="81"/>
      <c r="IY9" s="81"/>
      <c r="IZ9" s="81"/>
      <c r="JA9" s="81"/>
      <c r="JB9" s="81"/>
      <c r="JC9" s="81"/>
      <c r="JD9" s="81"/>
      <c r="JE9" s="81"/>
      <c r="JF9" s="81"/>
      <c r="JG9" s="81"/>
      <c r="JH9" s="81"/>
      <c r="JI9" s="81"/>
      <c r="JJ9" s="81"/>
      <c r="JK9" s="81"/>
      <c r="JL9" s="81"/>
      <c r="JM9" s="81"/>
      <c r="JN9" s="81"/>
      <c r="JO9" s="81"/>
      <c r="JP9" s="81"/>
      <c r="JQ9" s="81"/>
      <c r="JR9" s="81"/>
      <c r="JS9" s="81"/>
      <c r="JT9" s="81"/>
      <c r="JU9" s="81"/>
      <c r="JV9" s="81"/>
      <c r="JW9" s="81"/>
      <c r="JX9" s="81"/>
      <c r="JY9" s="81"/>
      <c r="JZ9" s="81"/>
      <c r="KA9" s="81"/>
      <c r="KB9" s="81"/>
      <c r="KC9" s="81"/>
      <c r="KD9" s="81"/>
      <c r="KE9" s="81"/>
      <c r="KF9" s="81"/>
      <c r="KG9" s="81"/>
      <c r="KH9" s="81"/>
      <c r="KI9" s="81"/>
      <c r="KJ9" s="81"/>
      <c r="KK9" s="81"/>
      <c r="KL9" s="81"/>
      <c r="KM9" s="81"/>
      <c r="KN9" s="81"/>
      <c r="KO9" s="81"/>
      <c r="KP9" s="81"/>
      <c r="KQ9" s="81"/>
      <c r="KR9" s="81"/>
      <c r="KS9" s="81"/>
      <c r="KT9" s="81"/>
      <c r="KU9" s="81"/>
      <c r="KV9" s="81"/>
      <c r="KW9" s="81"/>
      <c r="KX9" s="81"/>
      <c r="KY9" s="81"/>
      <c r="KZ9" s="81"/>
      <c r="LA9" s="81"/>
    </row>
    <row r="10" spans="1:313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V10" s="15"/>
      <c r="AW10" s="15"/>
    </row>
    <row r="11" spans="1:313" x14ac:dyDescent="0.25">
      <c r="AU11" s="14"/>
      <c r="AV11" s="15"/>
      <c r="AW11" s="15"/>
    </row>
    <row r="12" spans="1:313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</row>
    <row r="13" spans="1:313" ht="26.1" customHeight="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</row>
    <row r="14" spans="1:313" s="64" customFormat="1" x14ac:dyDescent="0.25">
      <c r="A14" s="201" t="s">
        <v>88</v>
      </c>
      <c r="B14" s="193" t="s">
        <v>80</v>
      </c>
      <c r="C14" s="193" t="s">
        <v>59</v>
      </c>
      <c r="D14" s="194" t="s">
        <v>74</v>
      </c>
      <c r="E14" s="195" t="s">
        <v>73</v>
      </c>
      <c r="F14" s="196" t="s">
        <v>48</v>
      </c>
      <c r="G14" s="197">
        <v>10000</v>
      </c>
      <c r="H14" s="107">
        <v>1500</v>
      </c>
      <c r="I14" s="107"/>
      <c r="J14" s="107">
        <v>4000</v>
      </c>
      <c r="K14" s="111">
        <v>3000</v>
      </c>
      <c r="L14" s="111"/>
      <c r="M14" s="111">
        <v>2000</v>
      </c>
      <c r="N14" s="107"/>
      <c r="O14" s="19"/>
      <c r="P14" s="117">
        <f>(G14+K14+M14)*0.13</f>
        <v>1950</v>
      </c>
      <c r="Q14" s="135">
        <f>SUM(G14*8%)</f>
        <v>800</v>
      </c>
      <c r="R14" s="107"/>
      <c r="S14" s="107"/>
      <c r="T14" s="107"/>
      <c r="U14" s="107"/>
      <c r="V14" s="109"/>
      <c r="W14" s="109"/>
      <c r="X14" s="107"/>
      <c r="Y14" s="109"/>
      <c r="Z14" s="109"/>
      <c r="AA14" s="107"/>
      <c r="AB14" s="108" t="s">
        <v>49</v>
      </c>
      <c r="AC14" s="126"/>
      <c r="AD14" s="127"/>
      <c r="AE14" s="127"/>
      <c r="AF14" s="127"/>
      <c r="AG14" s="127"/>
      <c r="AH14" s="127"/>
      <c r="AI14" s="128"/>
      <c r="AJ14" s="129"/>
      <c r="AK14" s="138">
        <f t="shared" ref="AK14:AP18" si="3">+V14*AC14</f>
        <v>0</v>
      </c>
      <c r="AL14" s="138">
        <f t="shared" si="3"/>
        <v>0</v>
      </c>
      <c r="AM14" s="138">
        <f t="shared" si="3"/>
        <v>0</v>
      </c>
      <c r="AN14" s="138">
        <f t="shared" si="3"/>
        <v>0</v>
      </c>
      <c r="AO14" s="138">
        <f t="shared" si="3"/>
        <v>0</v>
      </c>
      <c r="AP14" s="138">
        <f t="shared" si="3"/>
        <v>0</v>
      </c>
      <c r="AQ14" s="139"/>
      <c r="AR14" s="112">
        <f t="shared" ref="AR14:AR15" si="4">G14+H14+I14+J14+K14+L14+M14+N14+O14-P14-Q14-S14-T14-U14+AK14+AL14+AM14+AN14+AO14+AP14</f>
        <v>17750</v>
      </c>
      <c r="AS14" s="119" t="s">
        <v>66</v>
      </c>
      <c r="AT14" s="140">
        <v>0.08</v>
      </c>
      <c r="AU14" s="141"/>
      <c r="AV14" s="142">
        <v>6.5000000000000002E-2</v>
      </c>
      <c r="AW14" s="114">
        <f>SUM(G14*AV14)</f>
        <v>650</v>
      </c>
      <c r="AX14" s="115"/>
      <c r="AY14" s="115"/>
      <c r="AZ14" s="115"/>
      <c r="BA14" s="115"/>
    </row>
    <row r="15" spans="1:313" s="17" customFormat="1" x14ac:dyDescent="0.25">
      <c r="A15" s="202" t="s">
        <v>89</v>
      </c>
      <c r="B15" s="198" t="s">
        <v>81</v>
      </c>
      <c r="C15" s="198" t="s">
        <v>87</v>
      </c>
      <c r="D15" s="194" t="s">
        <v>74</v>
      </c>
      <c r="E15" s="195" t="s">
        <v>72</v>
      </c>
      <c r="F15" s="196" t="s">
        <v>51</v>
      </c>
      <c r="G15" s="197">
        <v>9000</v>
      </c>
      <c r="H15" s="143"/>
      <c r="I15" s="143"/>
      <c r="J15" s="143"/>
      <c r="K15" s="144"/>
      <c r="L15" s="144">
        <v>0</v>
      </c>
      <c r="M15" s="144"/>
      <c r="N15" s="143"/>
      <c r="O15" s="19"/>
      <c r="P15" s="118"/>
      <c r="Q15" s="136">
        <f>SUM(G15*AT15)</f>
        <v>720</v>
      </c>
      <c r="R15" s="12"/>
      <c r="S15" s="12"/>
      <c r="T15" s="12"/>
      <c r="U15" s="12"/>
      <c r="V15" s="121"/>
      <c r="W15" s="121"/>
      <c r="X15" s="122"/>
      <c r="Y15" s="124">
        <v>180</v>
      </c>
      <c r="Z15" s="125">
        <v>585</v>
      </c>
      <c r="AA15" s="123"/>
      <c r="AB15" s="105" t="s">
        <v>49</v>
      </c>
      <c r="AC15" s="134">
        <v>13</v>
      </c>
      <c r="AD15" s="131">
        <v>13</v>
      </c>
      <c r="AE15" s="130"/>
      <c r="AF15" s="131">
        <v>4</v>
      </c>
      <c r="AG15" s="131">
        <v>10</v>
      </c>
      <c r="AH15" s="132"/>
      <c r="AI15" s="132"/>
      <c r="AJ15" s="133"/>
      <c r="AK15" s="138">
        <f t="shared" si="3"/>
        <v>0</v>
      </c>
      <c r="AL15" s="138">
        <f t="shared" si="3"/>
        <v>0</v>
      </c>
      <c r="AM15" s="138">
        <f t="shared" si="3"/>
        <v>0</v>
      </c>
      <c r="AN15" s="138">
        <f t="shared" si="3"/>
        <v>720</v>
      </c>
      <c r="AO15" s="138">
        <f t="shared" si="3"/>
        <v>5850</v>
      </c>
      <c r="AP15" s="138">
        <f t="shared" si="3"/>
        <v>0</v>
      </c>
      <c r="AQ15" s="139" t="s">
        <v>82</v>
      </c>
      <c r="AR15" s="112">
        <f t="shared" si="4"/>
        <v>14850</v>
      </c>
      <c r="AS15" s="119" t="s">
        <v>66</v>
      </c>
      <c r="AT15" s="140">
        <v>0.08</v>
      </c>
      <c r="AU15" s="145"/>
      <c r="AV15" s="142">
        <v>6.5000000000000002E-2</v>
      </c>
      <c r="AW15" s="114">
        <f t="shared" ref="AW15:AW17" si="5">SUM(G15*AV15)</f>
        <v>585</v>
      </c>
      <c r="AX15" s="11"/>
      <c r="AY15" s="11"/>
      <c r="AZ15" s="11"/>
      <c r="BA15" s="11"/>
    </row>
    <row r="16" spans="1:313" s="17" customFormat="1" x14ac:dyDescent="0.25">
      <c r="A16" s="202" t="s">
        <v>90</v>
      </c>
      <c r="B16" s="198" t="s">
        <v>83</v>
      </c>
      <c r="C16" s="198" t="s">
        <v>65</v>
      </c>
      <c r="D16" s="194" t="s">
        <v>74</v>
      </c>
      <c r="E16" s="195" t="s">
        <v>72</v>
      </c>
      <c r="F16" s="196" t="s">
        <v>51</v>
      </c>
      <c r="G16" s="199">
        <v>8000</v>
      </c>
      <c r="H16" s="62"/>
      <c r="I16" s="62"/>
      <c r="J16" s="62"/>
      <c r="K16" s="78"/>
      <c r="L16" s="78">
        <v>0</v>
      </c>
      <c r="M16" s="78"/>
      <c r="N16" s="62"/>
      <c r="O16" s="19"/>
      <c r="P16" s="118"/>
      <c r="Q16" s="136">
        <f>SUM(G16*AT16)</f>
        <v>1040</v>
      </c>
      <c r="R16" s="12"/>
      <c r="S16" s="12"/>
      <c r="T16" s="12"/>
      <c r="U16" s="12"/>
      <c r="V16" s="101"/>
      <c r="W16" s="101"/>
      <c r="X16" s="102"/>
      <c r="Y16" s="101">
        <v>135</v>
      </c>
      <c r="Z16" s="101">
        <v>427.5</v>
      </c>
      <c r="AA16" s="102"/>
      <c r="AB16" s="105" t="s">
        <v>49</v>
      </c>
      <c r="AC16" s="100"/>
      <c r="AD16" s="100"/>
      <c r="AE16" s="100"/>
      <c r="AF16" s="134">
        <v>4</v>
      </c>
      <c r="AG16" s="134">
        <v>10</v>
      </c>
      <c r="AH16" s="100"/>
      <c r="AI16" s="100"/>
      <c r="AJ16" s="100"/>
      <c r="AK16" s="138">
        <f t="shared" si="3"/>
        <v>0</v>
      </c>
      <c r="AL16" s="138">
        <f t="shared" si="3"/>
        <v>0</v>
      </c>
      <c r="AM16" s="138">
        <f t="shared" si="3"/>
        <v>0</v>
      </c>
      <c r="AN16" s="138">
        <f t="shared" si="3"/>
        <v>540</v>
      </c>
      <c r="AO16" s="138">
        <f t="shared" si="3"/>
        <v>4275</v>
      </c>
      <c r="AP16" s="138">
        <f t="shared" si="3"/>
        <v>0</v>
      </c>
      <c r="AQ16" s="139" t="s">
        <v>84</v>
      </c>
      <c r="AR16" s="112">
        <f>G16+H16+I16+J16+K16+L16+M16+N16+O16-P16-Q16-S16-T16-U16+AK16+AL16+AM16+AN16+AO16+AP16</f>
        <v>11775</v>
      </c>
      <c r="AS16" s="119" t="s">
        <v>66</v>
      </c>
      <c r="AT16" s="140">
        <v>0.13</v>
      </c>
      <c r="AU16" s="145"/>
      <c r="AV16" s="142">
        <v>6.5000000000000002E-2</v>
      </c>
      <c r="AW16" s="114">
        <f t="shared" si="5"/>
        <v>520</v>
      </c>
      <c r="AX16" s="11"/>
      <c r="AY16" s="11"/>
      <c r="AZ16" s="11"/>
      <c r="BA16" s="11"/>
    </row>
    <row r="17" spans="1:313" s="79" customFormat="1" x14ac:dyDescent="0.25">
      <c r="A17" s="202" t="s">
        <v>91</v>
      </c>
      <c r="B17" s="198" t="s">
        <v>85</v>
      </c>
      <c r="C17" s="198" t="s">
        <v>71</v>
      </c>
      <c r="D17" s="194" t="s">
        <v>75</v>
      </c>
      <c r="E17" s="195" t="s">
        <v>72</v>
      </c>
      <c r="F17" s="200" t="s">
        <v>51</v>
      </c>
      <c r="G17" s="146">
        <v>7000</v>
      </c>
      <c r="H17" s="62"/>
      <c r="I17" s="62"/>
      <c r="J17" s="62"/>
      <c r="K17" s="78"/>
      <c r="L17" s="78"/>
      <c r="M17" s="78"/>
      <c r="N17" s="62"/>
      <c r="O17" s="19"/>
      <c r="P17" s="113"/>
      <c r="Q17" s="137">
        <f t="shared" ref="Q17" si="6">SUM(G17*AT17)</f>
        <v>1050</v>
      </c>
      <c r="R17" s="12"/>
      <c r="S17" s="110"/>
      <c r="T17" s="110"/>
      <c r="U17" s="110"/>
      <c r="V17" s="101"/>
      <c r="W17" s="101"/>
      <c r="X17" s="102"/>
      <c r="Y17" s="101">
        <v>150</v>
      </c>
      <c r="Z17" s="101">
        <v>475</v>
      </c>
      <c r="AA17" s="102"/>
      <c r="AB17" s="106"/>
      <c r="AC17" s="100"/>
      <c r="AD17" s="100"/>
      <c r="AE17" s="100"/>
      <c r="AF17" s="134">
        <v>16</v>
      </c>
      <c r="AG17" s="134">
        <v>10</v>
      </c>
      <c r="AH17" s="100"/>
      <c r="AI17" s="100"/>
      <c r="AJ17" s="100"/>
      <c r="AK17" s="138">
        <f t="shared" si="3"/>
        <v>0</v>
      </c>
      <c r="AL17" s="138">
        <f t="shared" si="3"/>
        <v>0</v>
      </c>
      <c r="AM17" s="138">
        <f t="shared" si="3"/>
        <v>0</v>
      </c>
      <c r="AN17" s="138">
        <f t="shared" si="3"/>
        <v>2400</v>
      </c>
      <c r="AO17" s="138">
        <f t="shared" si="3"/>
        <v>4750</v>
      </c>
      <c r="AP17" s="138">
        <f t="shared" si="3"/>
        <v>0</v>
      </c>
      <c r="AQ17" s="139"/>
      <c r="AR17" s="138">
        <f>G17+H17+I17+J17+K17+L17+M17+N17+O17-P17-Q17-S17-T17-U17+AK17+AL17+AM17+AN17+AO17+AP17</f>
        <v>13100</v>
      </c>
      <c r="AS17" s="120" t="s">
        <v>67</v>
      </c>
      <c r="AT17" s="140">
        <v>0.15</v>
      </c>
      <c r="AU17" s="141"/>
      <c r="AV17" s="142">
        <v>6.5000000000000002E-2</v>
      </c>
      <c r="AW17" s="114">
        <f t="shared" si="5"/>
        <v>455</v>
      </c>
      <c r="AX17" s="116"/>
      <c r="AY17" s="116"/>
      <c r="AZ17" s="116"/>
      <c r="BA17" s="116"/>
    </row>
    <row r="18" spans="1:313" s="83" customFormat="1" x14ac:dyDescent="0.25">
      <c r="A18" s="202" t="s">
        <v>92</v>
      </c>
      <c r="B18" s="198" t="s">
        <v>86</v>
      </c>
      <c r="C18" s="193" t="s">
        <v>68</v>
      </c>
      <c r="D18" s="194" t="s">
        <v>76</v>
      </c>
      <c r="E18" s="195" t="s">
        <v>72</v>
      </c>
      <c r="F18" s="196" t="s">
        <v>51</v>
      </c>
      <c r="G18" s="148">
        <v>1000000</v>
      </c>
      <c r="H18" s="62"/>
      <c r="I18" s="62"/>
      <c r="J18" s="62"/>
      <c r="K18" s="78"/>
      <c r="L18" s="78"/>
      <c r="M18" s="78"/>
      <c r="N18" s="62"/>
      <c r="O18" s="19"/>
      <c r="P18" s="82"/>
      <c r="Q18" s="104">
        <v>0</v>
      </c>
      <c r="R18" s="12"/>
      <c r="S18" s="18"/>
      <c r="T18" s="18"/>
      <c r="U18" s="18"/>
      <c r="V18" s="101"/>
      <c r="W18" s="101">
        <v>50000</v>
      </c>
      <c r="X18" s="102"/>
      <c r="Y18" s="101"/>
      <c r="Z18" s="101"/>
      <c r="AA18" s="102"/>
      <c r="AB18" s="20" t="s">
        <v>49</v>
      </c>
      <c r="AC18" s="100"/>
      <c r="AD18" s="103">
        <v>5</v>
      </c>
      <c r="AE18" s="100"/>
      <c r="AF18" s="100"/>
      <c r="AG18" s="100"/>
      <c r="AH18" s="100"/>
      <c r="AI18" s="100"/>
      <c r="AJ18" s="100"/>
      <c r="AK18" s="138">
        <f t="shared" si="3"/>
        <v>0</v>
      </c>
      <c r="AL18" s="138">
        <f t="shared" si="3"/>
        <v>250000</v>
      </c>
      <c r="AM18" s="138">
        <f t="shared" si="3"/>
        <v>0</v>
      </c>
      <c r="AN18" s="138">
        <f>+Y18*AF18</f>
        <v>0</v>
      </c>
      <c r="AO18" s="138">
        <f>+Z18*AG18</f>
        <v>0</v>
      </c>
      <c r="AP18" s="138">
        <f>+AA18*AH18</f>
        <v>0</v>
      </c>
      <c r="AQ18" s="147"/>
      <c r="AR18" s="98">
        <f>G18+H18+I18+J18+K18+L18+M18+N18+O18-P18-Q18-S18-T18-U18+AK18+AL18+AM18+AN18+AO18+AP18</f>
        <v>1250000</v>
      </c>
      <c r="AS18" s="99" t="s">
        <v>69</v>
      </c>
      <c r="AT18" s="13" t="s">
        <v>50</v>
      </c>
      <c r="AU18" s="145" t="s">
        <v>77</v>
      </c>
      <c r="AV18" s="142"/>
      <c r="AW18" s="77"/>
      <c r="AX18" s="80"/>
      <c r="AY18" s="80"/>
      <c r="AZ18" s="80"/>
      <c r="BA18" s="80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</row>
    <row r="19" spans="1:313" s="16" customFormat="1" x14ac:dyDescent="0.25">
      <c r="C19" s="21"/>
      <c r="D19" s="84"/>
      <c r="E19" s="84"/>
      <c r="F19" s="85"/>
      <c r="G19" s="86"/>
      <c r="H19" s="86"/>
      <c r="I19" s="86"/>
      <c r="J19" s="86"/>
      <c r="K19" s="87"/>
      <c r="L19" s="87"/>
      <c r="M19" s="87"/>
      <c r="N19" s="86"/>
      <c r="O19" s="88"/>
      <c r="P19" s="89"/>
      <c r="Q19" s="90"/>
      <c r="R19" s="91"/>
      <c r="S19" s="91"/>
      <c r="T19" s="91"/>
      <c r="U19" s="91"/>
      <c r="V19" s="86"/>
      <c r="W19" s="86"/>
      <c r="X19" s="86"/>
      <c r="Y19" s="86"/>
      <c r="Z19" s="86"/>
      <c r="AA19" s="86"/>
      <c r="AB19" s="92"/>
      <c r="AC19" s="86"/>
      <c r="AD19" s="86"/>
      <c r="AE19" s="86"/>
      <c r="AF19" s="86"/>
      <c r="AG19" s="86"/>
      <c r="AH19" s="86"/>
      <c r="AI19" s="86"/>
      <c r="AJ19" s="86"/>
      <c r="AK19" s="93"/>
      <c r="AL19" s="93"/>
      <c r="AM19" s="93"/>
      <c r="AN19" s="93"/>
      <c r="AO19" s="93"/>
      <c r="AP19" s="93"/>
      <c r="AQ19" s="94"/>
      <c r="AR19" s="93"/>
      <c r="AS19" s="95"/>
      <c r="AT19" s="96"/>
      <c r="AU19" s="97"/>
      <c r="AV19" s="96"/>
      <c r="AW19" s="96"/>
    </row>
    <row r="20" spans="1:313" s="16" customFormat="1" x14ac:dyDescent="0.25">
      <c r="C20" s="21"/>
      <c r="D20" s="84"/>
      <c r="E20" s="84"/>
      <c r="F20" s="85"/>
      <c r="G20" s="86"/>
      <c r="H20" s="86"/>
      <c r="I20" s="86"/>
      <c r="J20" s="86"/>
      <c r="K20" s="87"/>
      <c r="L20" s="87"/>
      <c r="M20" s="87"/>
      <c r="N20" s="86"/>
      <c r="O20" s="88"/>
      <c r="P20" s="89"/>
      <c r="Q20" s="90"/>
      <c r="R20" s="91"/>
      <c r="S20" s="91"/>
      <c r="T20" s="91"/>
      <c r="U20" s="91"/>
      <c r="V20" s="86"/>
      <c r="W20" s="86"/>
      <c r="X20" s="86"/>
      <c r="Y20" s="86"/>
      <c r="Z20" s="86"/>
      <c r="AA20" s="86"/>
      <c r="AB20" s="92"/>
      <c r="AC20" s="86"/>
      <c r="AD20" s="86"/>
      <c r="AE20" s="86"/>
      <c r="AF20" s="86"/>
      <c r="AG20" s="86"/>
      <c r="AH20" s="86"/>
      <c r="AI20" s="86"/>
      <c r="AJ20" s="86"/>
      <c r="AK20" s="93"/>
      <c r="AL20" s="93"/>
      <c r="AM20" s="93"/>
      <c r="AN20" s="93"/>
      <c r="AO20" s="93"/>
      <c r="AP20" s="93"/>
      <c r="AQ20" s="94"/>
      <c r="AR20" s="93"/>
      <c r="AS20" s="95"/>
      <c r="AT20" s="96"/>
      <c r="AU20" s="97"/>
      <c r="AV20" s="96"/>
      <c r="AW20" s="96"/>
    </row>
  </sheetData>
  <autoFilter ref="A13:AW13" xr:uid="{589DADA9-03E1-4B66-AFBD-CEAF55A3C3E1}"/>
  <mergeCells count="6">
    <mergeCell ref="A2:B2"/>
    <mergeCell ref="C2:D2"/>
    <mergeCell ref="A3:B3"/>
    <mergeCell ref="C3:D3"/>
    <mergeCell ref="E2:G2"/>
    <mergeCell ref="E3:G3"/>
  </mergeCells>
  <conditionalFormatting sqref="A7 C7:E7">
    <cfRule type="duplicateValues" dxfId="77" priority="1889"/>
  </conditionalFormatting>
  <conditionalFormatting sqref="B7">
    <cfRule type="duplicateValues" dxfId="76" priority="1902"/>
  </conditionalFormatting>
  <conditionalFormatting sqref="B19:B20">
    <cfRule type="duplicateValues" dxfId="73" priority="1903"/>
    <cfRule type="duplicateValues" dxfId="72" priority="1905"/>
  </conditionalFormatting>
  <conditionalFormatting sqref="G19:AA20">
    <cfRule type="notContainsBlanks" dxfId="69" priority="938">
      <formula>LEN(TRIM(G19))&gt;0</formula>
    </cfRule>
    <cfRule type="containsBlanks" dxfId="68" priority="939">
      <formula>LEN(TRIM(G19))=0</formula>
    </cfRule>
  </conditionalFormatting>
  <conditionalFormatting sqref="U8">
    <cfRule type="notContainsBlanks" dxfId="65" priority="259">
      <formula>LEN(TRIM(U8))&gt;0</formula>
    </cfRule>
    <cfRule type="containsBlanks" dxfId="64" priority="260">
      <formula>LEN(TRIM(U8))=0</formula>
    </cfRule>
  </conditionalFormatting>
  <conditionalFormatting sqref="AK8:AP8 AK19:AP20">
    <cfRule type="cellIs" dxfId="63" priority="42" operator="notEqual">
      <formula>0</formula>
    </cfRule>
  </conditionalFormatting>
  <conditionalFormatting sqref="AR8">
    <cfRule type="cellIs" dxfId="62" priority="754" operator="notEqual">
      <formula>0</formula>
    </cfRule>
  </conditionalFormatting>
  <conditionalFormatting sqref="AR19:AR20">
    <cfRule type="cellIs" dxfId="61" priority="1225" operator="notEqual">
      <formula>0</formula>
    </cfRule>
  </conditionalFormatting>
  <conditionalFormatting sqref="A14:B14 B18">
    <cfRule type="duplicateValues" dxfId="60" priority="39"/>
  </conditionalFormatting>
  <conditionalFormatting sqref="B15:B17">
    <cfRule type="duplicateValues" dxfId="59" priority="40"/>
  </conditionalFormatting>
  <conditionalFormatting sqref="B15:B17">
    <cfRule type="duplicateValues" dxfId="58" priority="41"/>
  </conditionalFormatting>
  <conditionalFormatting sqref="G15:AA16 Y17:Z17 O17:U18">
    <cfRule type="notContainsBlanks" dxfId="57" priority="35">
      <formula>LEN(TRIM(G15))&gt;0</formula>
    </cfRule>
  </conditionalFormatting>
  <conditionalFormatting sqref="O14:P14 P15:U15 O15:O17 Q16:U16 P17:U17 G15:N16 V15:AA16">
    <cfRule type="containsBlanks" dxfId="56" priority="38">
      <formula>LEN(TRIM(G14))=0</formula>
    </cfRule>
  </conditionalFormatting>
  <conditionalFormatting sqref="P16 Y17:Z17">
    <cfRule type="containsBlanks" dxfId="55" priority="36">
      <formula>LEN(TRIM(P16))=0</formula>
    </cfRule>
  </conditionalFormatting>
  <conditionalFormatting sqref="R14:R16 O14:P14">
    <cfRule type="notContainsBlanks" dxfId="54" priority="37">
      <formula>LEN(TRIM(O14))&gt;0</formula>
    </cfRule>
  </conditionalFormatting>
  <conditionalFormatting sqref="R14:R16 O18:U18">
    <cfRule type="containsBlanks" dxfId="53" priority="32">
      <formula>LEN(TRIM(O14))=0</formula>
    </cfRule>
  </conditionalFormatting>
  <conditionalFormatting sqref="S14:U14">
    <cfRule type="notContainsBlanks" dxfId="52" priority="33">
      <formula>LEN(TRIM(S14))&gt;0</formula>
    </cfRule>
    <cfRule type="containsBlanks" dxfId="51" priority="34">
      <formula>LEN(TRIM(S14))=0</formula>
    </cfRule>
  </conditionalFormatting>
  <conditionalFormatting sqref="AR17 AK14:AP18">
    <cfRule type="cellIs" dxfId="50" priority="31" operator="notEqual">
      <formula>0</formula>
    </cfRule>
  </conditionalFormatting>
  <conditionalFormatting sqref="B9">
    <cfRule type="duplicateValues" dxfId="3" priority="4"/>
  </conditionalFormatting>
  <conditionalFormatting sqref="O9:U9">
    <cfRule type="notContainsBlanks" dxfId="2" priority="3">
      <formula>LEN(TRIM(O9))&gt;0</formula>
    </cfRule>
  </conditionalFormatting>
  <conditionalFormatting sqref="O9:U9">
    <cfRule type="containsBlanks" dxfId="1" priority="2">
      <formula>LEN(TRIM(O9))=0</formula>
    </cfRule>
  </conditionalFormatting>
  <conditionalFormatting sqref="AK9:AP9">
    <cfRule type="cellIs" dxfId="0" priority="1" operator="not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D26E-DC59-4250-95EF-7F88C6811B61}">
  <sheetPr filterMode="1"/>
  <dimension ref="A12:P70"/>
  <sheetViews>
    <sheetView topLeftCell="A4" zoomScaleNormal="100" workbookViewId="0">
      <selection activeCell="M26" sqref="M26"/>
    </sheetView>
  </sheetViews>
  <sheetFormatPr defaultRowHeight="15" x14ac:dyDescent="0.25"/>
  <cols>
    <col min="1" max="1" width="9.42578125" customWidth="1"/>
    <col min="2" max="2" width="10.28515625" customWidth="1"/>
    <col min="3" max="3" width="4.85546875" bestFit="1" customWidth="1"/>
    <col min="4" max="5" width="9.140625" bestFit="1" customWidth="1"/>
    <col min="6" max="6" width="8.42578125" bestFit="1" customWidth="1"/>
    <col min="7" max="7" width="10" customWidth="1"/>
    <col min="8" max="8" width="12" customWidth="1"/>
    <col min="9" max="9" width="8.28515625" bestFit="1" customWidth="1"/>
    <col min="10" max="10" width="8.85546875" bestFit="1" customWidth="1"/>
    <col min="13" max="13" width="20.140625" style="24" customWidth="1"/>
    <col min="14" max="14" width="5.28515625" bestFit="1" customWidth="1"/>
    <col min="15" max="15" width="6.140625" bestFit="1" customWidth="1"/>
    <col min="16" max="16" width="7.42578125" bestFit="1" customWidth="1"/>
  </cols>
  <sheetData>
    <row r="12" spans="1:10" x14ac:dyDescent="0.25">
      <c r="A12" s="174" t="s">
        <v>0</v>
      </c>
      <c r="B12" s="175"/>
      <c r="C12" s="175"/>
      <c r="D12" s="175"/>
      <c r="E12" s="175"/>
      <c r="F12" s="175"/>
      <c r="G12" s="175"/>
      <c r="H12" s="175"/>
      <c r="I12" s="175"/>
      <c r="J12" s="176"/>
    </row>
    <row r="13" spans="1:10" x14ac:dyDescent="0.25">
      <c r="A13" s="177" t="s">
        <v>1</v>
      </c>
      <c r="B13" s="178"/>
      <c r="C13" s="178"/>
      <c r="D13" s="178"/>
      <c r="E13" s="179"/>
      <c r="F13" s="185" t="s">
        <v>53</v>
      </c>
      <c r="G13" s="186"/>
      <c r="H13" s="187" t="str">
        <f>+'Payroll Data'!C9</f>
        <v xml:space="preserve">Gabon </v>
      </c>
      <c r="I13" s="187"/>
      <c r="J13" s="188"/>
    </row>
    <row r="14" spans="1:10" ht="15" customHeight="1" x14ac:dyDescent="0.25">
      <c r="A14" s="180" t="s">
        <v>2</v>
      </c>
      <c r="B14" s="181"/>
      <c r="C14" s="180" t="s">
        <v>3</v>
      </c>
      <c r="D14" s="182"/>
      <c r="E14" s="181"/>
      <c r="F14" s="180" t="s">
        <v>57</v>
      </c>
      <c r="G14" s="182"/>
      <c r="H14" s="32" t="s">
        <v>4</v>
      </c>
      <c r="I14" s="183" t="s">
        <v>5</v>
      </c>
      <c r="J14" s="184"/>
    </row>
    <row r="15" spans="1:10" x14ac:dyDescent="0.25">
      <c r="A15" s="171" t="str">
        <f>+'Payroll Data'!A9</f>
        <v>005</v>
      </c>
      <c r="B15" s="172"/>
      <c r="C15" s="171" t="str">
        <f>+'Payroll Data'!B9</f>
        <v>Employee E</v>
      </c>
      <c r="D15" s="173"/>
      <c r="E15" s="172"/>
      <c r="F15" s="171" t="s">
        <v>56</v>
      </c>
      <c r="G15" s="172"/>
      <c r="H15" s="31" t="str">
        <f>+'Payroll Data'!A3</f>
        <v>Test Date</v>
      </c>
      <c r="I15" s="171" t="str">
        <f>+'Payroll Data'!C3</f>
        <v>Test period</v>
      </c>
      <c r="J15" s="172"/>
    </row>
    <row r="18" spans="1:10" x14ac:dyDescent="0.25">
      <c r="A18" s="168" t="s">
        <v>6</v>
      </c>
      <c r="B18" s="169"/>
      <c r="C18" s="169"/>
      <c r="D18" s="169"/>
      <c r="E18" s="170"/>
      <c r="F18" s="168" t="s">
        <v>7</v>
      </c>
      <c r="G18" s="169"/>
      <c r="H18" s="169"/>
      <c r="I18" s="169"/>
      <c r="J18" s="170"/>
    </row>
    <row r="19" spans="1:10" ht="22.5" x14ac:dyDescent="0.25">
      <c r="A19" s="25" t="s">
        <v>8</v>
      </c>
      <c r="B19" s="26" t="s">
        <v>9</v>
      </c>
      <c r="C19" s="26" t="s">
        <v>10</v>
      </c>
      <c r="D19" s="26" t="s">
        <v>11</v>
      </c>
      <c r="E19" s="27" t="s">
        <v>12</v>
      </c>
      <c r="F19" s="25" t="s">
        <v>8</v>
      </c>
      <c r="G19" s="26" t="s">
        <v>9</v>
      </c>
      <c r="H19" s="26" t="s">
        <v>13</v>
      </c>
      <c r="I19" s="26" t="s">
        <v>11</v>
      </c>
      <c r="J19" s="27" t="s">
        <v>12</v>
      </c>
    </row>
    <row r="20" spans="1:10" ht="33.75" x14ac:dyDescent="0.25">
      <c r="A20" s="50">
        <f>+'Payroll Data'!E3</f>
        <v>45900</v>
      </c>
      <c r="B20" s="51" t="s">
        <v>14</v>
      </c>
      <c r="C20" s="28">
        <v>1</v>
      </c>
      <c r="D20" s="44">
        <f>SUM('Payroll Data'!G9)</f>
        <v>1000000</v>
      </c>
      <c r="E20" s="45">
        <f>SUM(C20*D20)</f>
        <v>1000000</v>
      </c>
      <c r="F20" s="50"/>
      <c r="G20" s="51"/>
      <c r="H20" s="22"/>
      <c r="I20" s="44"/>
      <c r="J20" s="45"/>
    </row>
    <row r="21" spans="1:10" ht="22.5" hidden="1" x14ac:dyDescent="0.25">
      <c r="A21" s="50">
        <f>+'Payroll Data'!E3</f>
        <v>45900</v>
      </c>
      <c r="B21" s="51" t="s">
        <v>21</v>
      </c>
      <c r="C21" s="28">
        <v>1</v>
      </c>
      <c r="D21" s="44">
        <f>SUM('Payroll Data'!H9)</f>
        <v>0</v>
      </c>
      <c r="E21" s="45">
        <f t="shared" ref="E21:E28" si="0">SUM(C21*D21)</f>
        <v>0</v>
      </c>
      <c r="F21" s="50"/>
      <c r="G21" s="51"/>
      <c r="H21" s="22"/>
      <c r="I21" s="44"/>
      <c r="J21" s="45"/>
    </row>
    <row r="22" spans="1:10" ht="22.5" hidden="1" x14ac:dyDescent="0.25">
      <c r="A22" s="50">
        <f>+'Payroll Data'!E3</f>
        <v>45900</v>
      </c>
      <c r="B22" s="51" t="s">
        <v>22</v>
      </c>
      <c r="C22" s="28">
        <v>1</v>
      </c>
      <c r="D22" s="44">
        <f>SUM('Payroll Data'!I9)</f>
        <v>0</v>
      </c>
      <c r="E22" s="45">
        <f t="shared" si="0"/>
        <v>0</v>
      </c>
      <c r="F22" s="50"/>
      <c r="G22" s="51"/>
      <c r="H22" s="22"/>
      <c r="I22" s="44"/>
      <c r="J22" s="45"/>
    </row>
    <row r="23" spans="1:10" ht="22.5" hidden="1" x14ac:dyDescent="0.25">
      <c r="A23" s="50">
        <f>+'Payroll Data'!E3</f>
        <v>45900</v>
      </c>
      <c r="B23" s="51" t="s">
        <v>23</v>
      </c>
      <c r="C23" s="28">
        <v>1</v>
      </c>
      <c r="D23" s="44">
        <f>SUM('Payroll Data'!J9)</f>
        <v>0</v>
      </c>
      <c r="E23" s="45">
        <f t="shared" si="0"/>
        <v>0</v>
      </c>
      <c r="F23" s="50"/>
      <c r="G23" s="51"/>
      <c r="H23" s="22"/>
      <c r="I23" s="44"/>
      <c r="J23" s="45"/>
    </row>
    <row r="24" spans="1:10" ht="22.5" hidden="1" x14ac:dyDescent="0.25">
      <c r="A24" s="50">
        <f>+'Payroll Data'!E3</f>
        <v>45900</v>
      </c>
      <c r="B24" s="51" t="s">
        <v>24</v>
      </c>
      <c r="C24" s="28">
        <v>1</v>
      </c>
      <c r="D24" s="44">
        <f>SUM('Payroll Data'!K9)</f>
        <v>0</v>
      </c>
      <c r="E24" s="45">
        <f t="shared" si="0"/>
        <v>0</v>
      </c>
      <c r="F24" s="54"/>
      <c r="G24" s="51"/>
      <c r="H24" s="22"/>
      <c r="I24" s="44"/>
      <c r="J24" s="45"/>
    </row>
    <row r="25" spans="1:10" ht="22.5" hidden="1" x14ac:dyDescent="0.25">
      <c r="A25" s="50">
        <f>+'Payroll Data'!E3</f>
        <v>45900</v>
      </c>
      <c r="B25" s="51" t="s">
        <v>70</v>
      </c>
      <c r="C25" s="28">
        <v>1</v>
      </c>
      <c r="D25" s="44">
        <f>SUM('Payroll Data'!L9)</f>
        <v>0</v>
      </c>
      <c r="E25" s="45">
        <f t="shared" si="0"/>
        <v>0</v>
      </c>
      <c r="F25" s="54"/>
      <c r="G25" s="51"/>
      <c r="H25" s="22"/>
      <c r="I25" s="44"/>
      <c r="J25" s="45"/>
    </row>
    <row r="26" spans="1:10" ht="22.5" hidden="1" x14ac:dyDescent="0.25">
      <c r="A26" s="50">
        <f>+'Payroll Data'!E3</f>
        <v>45900</v>
      </c>
      <c r="B26" s="51" t="s">
        <v>26</v>
      </c>
      <c r="C26" s="28">
        <v>1</v>
      </c>
      <c r="D26" s="44">
        <f>SUM('Payroll Data'!M9)</f>
        <v>0</v>
      </c>
      <c r="E26" s="45">
        <f t="shared" si="0"/>
        <v>0</v>
      </c>
      <c r="F26" s="54"/>
      <c r="G26" s="51"/>
      <c r="H26" s="22"/>
      <c r="I26" s="44"/>
      <c r="J26" s="45"/>
    </row>
    <row r="27" spans="1:10" ht="33.75" hidden="1" x14ac:dyDescent="0.25">
      <c r="A27" s="50">
        <f>+'Payroll Data'!E3</f>
        <v>45900</v>
      </c>
      <c r="B27" s="51" t="s">
        <v>60</v>
      </c>
      <c r="C27" s="28">
        <v>1</v>
      </c>
      <c r="D27" s="44">
        <f>SUM('Payroll Data'!N9)</f>
        <v>0</v>
      </c>
      <c r="E27" s="45">
        <f t="shared" si="0"/>
        <v>0</v>
      </c>
      <c r="F27" s="54"/>
      <c r="G27" s="51"/>
      <c r="H27" s="22"/>
      <c r="I27" s="44"/>
      <c r="J27" s="45"/>
    </row>
    <row r="28" spans="1:10" hidden="1" x14ac:dyDescent="0.25">
      <c r="A28" s="50">
        <f>+'Payroll Data'!E3</f>
        <v>45900</v>
      </c>
      <c r="B28" s="51" t="s">
        <v>27</v>
      </c>
      <c r="C28" s="28">
        <v>1</v>
      </c>
      <c r="D28" s="44">
        <f>SUM('Payroll Data'!O9)</f>
        <v>0</v>
      </c>
      <c r="E28" s="45">
        <f t="shared" si="0"/>
        <v>0</v>
      </c>
      <c r="F28" s="54"/>
      <c r="G28" s="51"/>
      <c r="H28" s="22"/>
      <c r="I28" s="44"/>
      <c r="J28" s="45"/>
    </row>
    <row r="29" spans="1:10" ht="45" hidden="1" x14ac:dyDescent="0.25">
      <c r="A29" s="50">
        <f>+'Payroll Data'!E3</f>
        <v>45900</v>
      </c>
      <c r="B29" s="51" t="s">
        <v>28</v>
      </c>
      <c r="C29" s="28">
        <f>SUM('Payroll Data'!AC9)</f>
        <v>0</v>
      </c>
      <c r="D29" s="44">
        <f>SUM('Payroll Data'!V9)</f>
        <v>0</v>
      </c>
      <c r="E29" s="45">
        <f t="shared" ref="E29:E34" si="1">SUM(C29*D29)</f>
        <v>0</v>
      </c>
      <c r="F29" s="54"/>
      <c r="G29" s="51"/>
      <c r="H29" s="22"/>
      <c r="I29" s="44"/>
      <c r="J29" s="45"/>
    </row>
    <row r="30" spans="1:10" ht="33.75" hidden="1" x14ac:dyDescent="0.25">
      <c r="A30" s="50">
        <f>+'Payroll Data'!E3</f>
        <v>45900</v>
      </c>
      <c r="B30" s="51" t="s">
        <v>29</v>
      </c>
      <c r="C30" s="28">
        <f>SUM('Payroll Data'!AD9)</f>
        <v>5</v>
      </c>
      <c r="D30" s="44">
        <f>SUM('Payroll Data'!W9)</f>
        <v>50000</v>
      </c>
      <c r="E30" s="45">
        <f t="shared" si="1"/>
        <v>250000</v>
      </c>
      <c r="F30" s="54"/>
      <c r="G30" s="51"/>
      <c r="H30" s="22"/>
      <c r="I30" s="44"/>
      <c r="J30" s="45"/>
    </row>
    <row r="31" spans="1:10" ht="22.5" hidden="1" x14ac:dyDescent="0.25">
      <c r="A31" s="50">
        <f>+'Payroll Data'!E3</f>
        <v>45900</v>
      </c>
      <c r="B31" s="51" t="s">
        <v>30</v>
      </c>
      <c r="C31" s="28">
        <f>SUM('Payroll Data'!AE9)</f>
        <v>0</v>
      </c>
      <c r="D31" s="44">
        <f>SUM('Payroll Data'!X9)</f>
        <v>0</v>
      </c>
      <c r="E31" s="45">
        <f t="shared" si="1"/>
        <v>0</v>
      </c>
      <c r="F31" s="54"/>
      <c r="G31" s="51"/>
      <c r="H31" s="22"/>
      <c r="I31" s="44"/>
      <c r="J31" s="45"/>
    </row>
    <row r="32" spans="1:10" ht="33.75" x14ac:dyDescent="0.25">
      <c r="A32" s="50">
        <f>+'Payroll Data'!E3</f>
        <v>45900</v>
      </c>
      <c r="B32" s="51" t="s">
        <v>31</v>
      </c>
      <c r="C32" s="28">
        <f>SUM('Payroll Data'!AF9)</f>
        <v>0</v>
      </c>
      <c r="D32" s="44">
        <f>SUM('Payroll Data'!Y9)</f>
        <v>0</v>
      </c>
      <c r="E32" s="45">
        <f t="shared" si="1"/>
        <v>0</v>
      </c>
      <c r="F32" s="54"/>
      <c r="G32" s="51"/>
      <c r="H32" s="22"/>
      <c r="I32" s="44"/>
      <c r="J32" s="45"/>
    </row>
    <row r="33" spans="1:10" ht="33.75" x14ac:dyDescent="0.25">
      <c r="A33" s="50">
        <f>+'Payroll Data'!E3</f>
        <v>45900</v>
      </c>
      <c r="B33" s="51" t="s">
        <v>32</v>
      </c>
      <c r="C33" s="28">
        <f>SUM('Payroll Data'!AG9)</f>
        <v>0</v>
      </c>
      <c r="D33" s="44">
        <f>SUM('Payroll Data'!Z9)</f>
        <v>0</v>
      </c>
      <c r="E33" s="45">
        <f t="shared" si="1"/>
        <v>0</v>
      </c>
      <c r="F33" s="54"/>
      <c r="G33" s="51"/>
      <c r="H33" s="22"/>
      <c r="I33" s="44"/>
      <c r="J33" s="45"/>
    </row>
    <row r="34" spans="1:10" hidden="1" x14ac:dyDescent="0.25">
      <c r="A34" s="50">
        <f>+'Payroll Data'!E3</f>
        <v>45900</v>
      </c>
      <c r="B34" s="51" t="s">
        <v>55</v>
      </c>
      <c r="C34" s="28">
        <f>SUM('Payroll Data'!AH9)</f>
        <v>0</v>
      </c>
      <c r="D34" s="44">
        <f>SUM('Payroll Data'!AA9)</f>
        <v>0</v>
      </c>
      <c r="E34" s="45">
        <f t="shared" si="1"/>
        <v>0</v>
      </c>
      <c r="F34" s="54"/>
      <c r="G34" s="51"/>
      <c r="H34" s="22"/>
      <c r="I34" s="44"/>
      <c r="J34" s="45"/>
    </row>
    <row r="35" spans="1:10" hidden="1" x14ac:dyDescent="0.25">
      <c r="A35" s="50"/>
      <c r="B35" s="51"/>
      <c r="C35" s="22"/>
      <c r="D35" s="44"/>
      <c r="E35" s="45"/>
      <c r="F35" s="50">
        <f>+'Payroll Data'!E3</f>
        <v>45900</v>
      </c>
      <c r="G35" s="51" t="s">
        <v>33</v>
      </c>
      <c r="H35" s="28">
        <v>-1</v>
      </c>
      <c r="I35" s="44">
        <f>+'Payroll Data'!P9</f>
        <v>0</v>
      </c>
      <c r="J35" s="45">
        <f>SUM(H35*I35)</f>
        <v>0</v>
      </c>
    </row>
    <row r="36" spans="1:10" x14ac:dyDescent="0.25">
      <c r="A36" s="50"/>
      <c r="B36" s="51"/>
      <c r="C36" s="22"/>
      <c r="D36" s="44"/>
      <c r="E36" s="45"/>
      <c r="F36" s="50">
        <f>+'Payroll Data'!E3</f>
        <v>45900</v>
      </c>
      <c r="G36" s="51" t="s">
        <v>15</v>
      </c>
      <c r="H36" s="28">
        <v>-1</v>
      </c>
      <c r="I36" s="44">
        <f>+'Payroll Data'!Q9</f>
        <v>0</v>
      </c>
      <c r="J36" s="45">
        <f>SUM(H36*I36)</f>
        <v>0</v>
      </c>
    </row>
    <row r="37" spans="1:10" ht="22.5" hidden="1" x14ac:dyDescent="0.25">
      <c r="A37" s="50"/>
      <c r="B37" s="51"/>
      <c r="C37" s="22"/>
      <c r="D37" s="44"/>
      <c r="E37" s="45"/>
      <c r="F37" s="50">
        <f>+'Payroll Data'!E3</f>
        <v>45900</v>
      </c>
      <c r="G37" s="51" t="s">
        <v>34</v>
      </c>
      <c r="H37" s="28">
        <v>-1</v>
      </c>
      <c r="I37" s="44">
        <f>+'Payroll Data'!S9</f>
        <v>0</v>
      </c>
      <c r="J37" s="45">
        <f>SUM(H37*I37)</f>
        <v>0</v>
      </c>
    </row>
    <row r="38" spans="1:10" ht="19.5" hidden="1" customHeight="1" x14ac:dyDescent="0.25">
      <c r="A38" s="50"/>
      <c r="B38" s="51"/>
      <c r="C38" s="22"/>
      <c r="D38" s="44"/>
      <c r="E38" s="45"/>
      <c r="F38" s="50">
        <f>+'Payroll Data'!E3</f>
        <v>45900</v>
      </c>
      <c r="G38" s="51" t="s">
        <v>63</v>
      </c>
      <c r="H38" s="28">
        <v>-1</v>
      </c>
      <c r="I38" s="44">
        <f>+'Payroll Data'!T9</f>
        <v>0</v>
      </c>
      <c r="J38" s="45">
        <f>SUM(H38*I38)</f>
        <v>0</v>
      </c>
    </row>
    <row r="39" spans="1:10" hidden="1" x14ac:dyDescent="0.25">
      <c r="A39" s="52"/>
      <c r="B39" s="53"/>
      <c r="C39" s="30"/>
      <c r="D39" s="46"/>
      <c r="E39" s="47"/>
      <c r="F39" s="52">
        <f>+'Payroll Data'!E3</f>
        <v>45900</v>
      </c>
      <c r="G39" s="53" t="s">
        <v>35</v>
      </c>
      <c r="H39" s="29">
        <v>-1</v>
      </c>
      <c r="I39" s="46">
        <f>+'Payroll Data'!U9</f>
        <v>0</v>
      </c>
      <c r="J39" s="47">
        <f>SUM(H39*I39)</f>
        <v>0</v>
      </c>
    </row>
    <row r="40" spans="1:10" ht="12.75" customHeight="1" x14ac:dyDescent="0.25">
      <c r="A40" s="168" t="s">
        <v>16</v>
      </c>
      <c r="B40" s="169"/>
      <c r="C40" s="169"/>
      <c r="D40" s="170"/>
      <c r="E40" s="48">
        <f>SUM(E20:E39)</f>
        <v>1250000</v>
      </c>
      <c r="F40" s="168" t="s">
        <v>17</v>
      </c>
      <c r="G40" s="169"/>
      <c r="H40" s="169"/>
      <c r="I40" s="170"/>
      <c r="J40" s="49">
        <f>SUM(J20:J39)</f>
        <v>0</v>
      </c>
    </row>
    <row r="41" spans="1:10" x14ac:dyDescent="0.25">
      <c r="A41" s="1"/>
    </row>
    <row r="42" spans="1:10" ht="16.5" x14ac:dyDescent="0.25">
      <c r="A42" s="2"/>
    </row>
    <row r="43" spans="1:10" x14ac:dyDescent="0.25">
      <c r="F43" s="165"/>
      <c r="G43" s="166"/>
      <c r="H43" s="166"/>
      <c r="I43" s="166"/>
      <c r="J43" s="167"/>
    </row>
    <row r="44" spans="1:10" x14ac:dyDescent="0.25">
      <c r="F44" s="159" t="s">
        <v>18</v>
      </c>
      <c r="G44" s="160"/>
      <c r="H44" s="161"/>
      <c r="I44" s="157">
        <f>+E40</f>
        <v>1250000</v>
      </c>
      <c r="J44" s="158"/>
    </row>
    <row r="45" spans="1:10" x14ac:dyDescent="0.25">
      <c r="F45" s="159" t="s">
        <v>19</v>
      </c>
      <c r="G45" s="160"/>
      <c r="H45" s="161"/>
      <c r="I45" s="157">
        <f>+J40</f>
        <v>0</v>
      </c>
      <c r="J45" s="158"/>
    </row>
    <row r="46" spans="1:10" x14ac:dyDescent="0.25">
      <c r="F46" s="33"/>
      <c r="G46" s="33"/>
      <c r="H46" s="34"/>
      <c r="I46" s="34"/>
      <c r="J46" s="34"/>
    </row>
    <row r="47" spans="1:10" ht="15" customHeight="1" x14ac:dyDescent="0.25">
      <c r="F47" s="162" t="s">
        <v>20</v>
      </c>
      <c r="G47" s="163"/>
      <c r="H47" s="164"/>
      <c r="I47" s="157">
        <f>SUM(I44+I45)</f>
        <v>1250000</v>
      </c>
      <c r="J47" s="158"/>
    </row>
    <row r="48" spans="1:10" x14ac:dyDescent="0.25">
      <c r="A48" s="3"/>
      <c r="B48" s="55"/>
    </row>
    <row r="49" spans="1:16" x14ac:dyDescent="0.25">
      <c r="A49" s="3"/>
      <c r="B49" s="55"/>
      <c r="M49" s="23"/>
      <c r="N49" s="22"/>
      <c r="O49" s="22"/>
      <c r="P49" s="22"/>
    </row>
    <row r="50" spans="1:16" x14ac:dyDescent="0.25">
      <c r="A50" s="3"/>
      <c r="B50" s="55"/>
      <c r="M50" s="23"/>
      <c r="N50" s="22"/>
      <c r="O50" s="22"/>
      <c r="P50" s="22"/>
    </row>
    <row r="51" spans="1:16" x14ac:dyDescent="0.25">
      <c r="A51" s="3"/>
      <c r="B51" s="55"/>
      <c r="M51" s="23"/>
      <c r="N51" s="22"/>
      <c r="O51" s="22"/>
      <c r="P51" s="22"/>
    </row>
    <row r="52" spans="1:16" x14ac:dyDescent="0.25">
      <c r="A52" s="3"/>
      <c r="B52" s="56"/>
      <c r="M52" s="23"/>
      <c r="N52" s="22"/>
      <c r="O52" s="22"/>
      <c r="P52" s="22"/>
    </row>
    <row r="53" spans="1:16" x14ac:dyDescent="0.25">
      <c r="A53" s="4"/>
      <c r="B53" s="55"/>
      <c r="M53" s="23"/>
      <c r="N53" s="22"/>
      <c r="O53" s="22"/>
      <c r="P53" s="22"/>
    </row>
    <row r="54" spans="1:16" x14ac:dyDescent="0.25">
      <c r="A54" s="4"/>
      <c r="B54" s="57"/>
      <c r="M54" s="23"/>
      <c r="N54" s="22"/>
      <c r="O54" s="22"/>
      <c r="P54" s="22"/>
    </row>
    <row r="55" spans="1:16" x14ac:dyDescent="0.25">
      <c r="A55" s="3"/>
      <c r="B55" s="57"/>
      <c r="M55" s="23"/>
      <c r="N55" s="22"/>
      <c r="O55" s="22"/>
      <c r="P55" s="22"/>
    </row>
    <row r="56" spans="1:16" x14ac:dyDescent="0.25">
      <c r="B56" s="55"/>
      <c r="M56" s="23"/>
      <c r="N56" s="22"/>
      <c r="O56" s="22"/>
      <c r="P56" s="22"/>
    </row>
    <row r="57" spans="1:16" x14ac:dyDescent="0.25">
      <c r="M57" s="23"/>
      <c r="N57" s="22"/>
      <c r="O57" s="22"/>
      <c r="P57" s="22"/>
    </row>
    <row r="58" spans="1:16" x14ac:dyDescent="0.25">
      <c r="M58" s="23"/>
      <c r="N58" s="22"/>
      <c r="O58" s="22"/>
      <c r="P58" s="22"/>
    </row>
    <row r="59" spans="1:16" x14ac:dyDescent="0.25">
      <c r="M59" s="23"/>
      <c r="N59" s="22"/>
      <c r="O59" s="22"/>
      <c r="P59" s="22"/>
    </row>
    <row r="60" spans="1:16" x14ac:dyDescent="0.25">
      <c r="M60" s="23"/>
      <c r="N60" s="22"/>
      <c r="O60" s="22"/>
      <c r="P60" s="22"/>
    </row>
    <row r="61" spans="1:16" x14ac:dyDescent="0.25">
      <c r="M61" s="23"/>
      <c r="N61" s="22"/>
      <c r="O61" s="22"/>
      <c r="P61" s="22"/>
    </row>
    <row r="62" spans="1:16" x14ac:dyDescent="0.25">
      <c r="M62" s="23"/>
      <c r="N62" s="22"/>
      <c r="O62" s="22"/>
      <c r="P62" s="22"/>
    </row>
    <row r="63" spans="1:16" x14ac:dyDescent="0.25">
      <c r="M63" s="23"/>
      <c r="N63" s="22"/>
      <c r="O63" s="22"/>
      <c r="P63" s="22"/>
    </row>
    <row r="64" spans="1:16" x14ac:dyDescent="0.25">
      <c r="M64" s="23"/>
      <c r="N64" s="22"/>
      <c r="O64" s="22"/>
      <c r="P64" s="22"/>
    </row>
    <row r="65" spans="13:16" x14ac:dyDescent="0.25">
      <c r="M65" s="23"/>
      <c r="N65" s="22"/>
      <c r="O65" s="22"/>
      <c r="P65" s="22"/>
    </row>
    <row r="66" spans="13:16" x14ac:dyDescent="0.25">
      <c r="M66" s="23"/>
      <c r="N66" s="22"/>
      <c r="O66" s="22"/>
      <c r="P66" s="22"/>
    </row>
    <row r="67" spans="13:16" x14ac:dyDescent="0.25">
      <c r="M67" s="23"/>
      <c r="N67" s="22"/>
      <c r="O67" s="22"/>
      <c r="P67" s="22"/>
    </row>
    <row r="68" spans="13:16" x14ac:dyDescent="0.25">
      <c r="M68" s="23"/>
      <c r="N68" s="22"/>
      <c r="O68" s="22"/>
      <c r="P68" s="22"/>
    </row>
    <row r="69" spans="13:16" x14ac:dyDescent="0.25">
      <c r="M69" s="23"/>
      <c r="N69" s="22"/>
      <c r="O69" s="22"/>
      <c r="P69" s="22"/>
    </row>
    <row r="70" spans="13:16" x14ac:dyDescent="0.25">
      <c r="M70" s="23"/>
      <c r="N70" s="22"/>
      <c r="O70" s="22"/>
      <c r="P70" s="22"/>
    </row>
  </sheetData>
  <autoFilter ref="A17:J40" xr:uid="{57C8D26E-DC59-4250-95EF-7F88C6811B61}">
    <filterColumn colId="4">
      <filters blank="1">
        <filter val="€ 15,570.00"/>
        <filter val="€ 5,850.00"/>
        <filter val="€ 720.00"/>
        <filter val="€ 9,000.00"/>
        <filter val="Amount"/>
      </filters>
    </filterColumn>
    <filterColumn colId="9">
      <filters blank="1">
        <filter val="-€ 720.00"/>
        <filter val="Amount"/>
      </filters>
    </filterColumn>
  </autoFilter>
  <mergeCells count="23">
    <mergeCell ref="A12:J12"/>
    <mergeCell ref="A13:E13"/>
    <mergeCell ref="A14:B14"/>
    <mergeCell ref="C14:E14"/>
    <mergeCell ref="I14:J14"/>
    <mergeCell ref="F14:G14"/>
    <mergeCell ref="F13:G13"/>
    <mergeCell ref="H13:J13"/>
    <mergeCell ref="A40:D40"/>
    <mergeCell ref="F40:I40"/>
    <mergeCell ref="I44:J44"/>
    <mergeCell ref="F44:H44"/>
    <mergeCell ref="A15:B15"/>
    <mergeCell ref="C15:E15"/>
    <mergeCell ref="I15:J15"/>
    <mergeCell ref="A18:E18"/>
    <mergeCell ref="F18:J18"/>
    <mergeCell ref="F15:G15"/>
    <mergeCell ref="I45:J45"/>
    <mergeCell ref="F45:H45"/>
    <mergeCell ref="I47:J47"/>
    <mergeCell ref="F47:H47"/>
    <mergeCell ref="F43:J43"/>
  </mergeCells>
  <pageMargins left="0.11811023622047244" right="0.11811023622047244" top="0.11811023622047244" bottom="0.11811023622047244" header="0.11811023622047244" footer="0.1181102362204724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4436-0E20-41DA-A9FA-E98501569571}">
  <sheetPr filterMode="1"/>
  <dimension ref="A12:M55"/>
  <sheetViews>
    <sheetView topLeftCell="A4" workbookViewId="0">
      <selection activeCell="N11" sqref="N11"/>
    </sheetView>
  </sheetViews>
  <sheetFormatPr defaultRowHeight="15" x14ac:dyDescent="0.25"/>
  <cols>
    <col min="1" max="1" width="10" customWidth="1"/>
    <col min="2" max="2" width="15.42578125" customWidth="1"/>
    <col min="3" max="3" width="5.140625" customWidth="1"/>
    <col min="4" max="4" width="8.7109375" bestFit="1" customWidth="1"/>
    <col min="5" max="5" width="9.5703125" customWidth="1"/>
    <col min="6" max="6" width="9.42578125" customWidth="1"/>
    <col min="7" max="7" width="6.28515625" customWidth="1"/>
    <col min="8" max="8" width="10.5703125" customWidth="1"/>
    <col min="9" max="9" width="7.85546875" customWidth="1"/>
    <col min="10" max="10" width="8.5703125" customWidth="1"/>
  </cols>
  <sheetData>
    <row r="12" spans="1:10" ht="15" customHeight="1" x14ac:dyDescent="0.25">
      <c r="A12" s="174" t="s">
        <v>0</v>
      </c>
      <c r="B12" s="175"/>
      <c r="C12" s="175"/>
      <c r="D12" s="175"/>
      <c r="E12" s="175"/>
      <c r="F12" s="175"/>
      <c r="G12" s="175"/>
      <c r="H12" s="175"/>
      <c r="I12" s="175"/>
      <c r="J12" s="176"/>
    </row>
    <row r="13" spans="1:10" x14ac:dyDescent="0.25">
      <c r="A13" s="177" t="s">
        <v>1</v>
      </c>
      <c r="B13" s="178"/>
      <c r="C13" s="178"/>
      <c r="D13" s="178"/>
      <c r="E13" s="179"/>
      <c r="F13" s="185" t="s">
        <v>53</v>
      </c>
      <c r="G13" s="186"/>
      <c r="H13" s="187" t="str">
        <f>+'Payroll Data'!C9</f>
        <v xml:space="preserve">Gabon </v>
      </c>
      <c r="I13" s="187"/>
      <c r="J13" s="188"/>
    </row>
    <row r="14" spans="1:10" ht="15" customHeight="1" x14ac:dyDescent="0.25">
      <c r="A14" s="180" t="s">
        <v>2</v>
      </c>
      <c r="B14" s="181"/>
      <c r="C14" s="180" t="s">
        <v>3</v>
      </c>
      <c r="D14" s="182"/>
      <c r="E14" s="181"/>
      <c r="F14" s="180" t="s">
        <v>57</v>
      </c>
      <c r="G14" s="182"/>
      <c r="H14" s="32" t="s">
        <v>4</v>
      </c>
      <c r="I14" s="183" t="s">
        <v>5</v>
      </c>
      <c r="J14" s="184"/>
    </row>
    <row r="15" spans="1:10" x14ac:dyDescent="0.25">
      <c r="A15" s="171" t="str">
        <f>+'Payroll Data'!A9</f>
        <v>005</v>
      </c>
      <c r="B15" s="172"/>
      <c r="C15" s="171" t="str">
        <f>+'Payroll Data'!B9</f>
        <v>Employee E</v>
      </c>
      <c r="D15" s="173"/>
      <c r="E15" s="172"/>
      <c r="F15" s="171" t="s">
        <v>56</v>
      </c>
      <c r="G15" s="172"/>
      <c r="H15" s="31" t="str">
        <f>+'Payroll Data'!A3</f>
        <v>Test Date</v>
      </c>
      <c r="I15" s="171" t="str">
        <f>+'Payroll Data'!C3</f>
        <v>Test period</v>
      </c>
      <c r="J15" s="172"/>
    </row>
    <row r="18" spans="1:13" ht="15" customHeight="1" x14ac:dyDescent="0.25">
      <c r="A18" s="168" t="s">
        <v>6</v>
      </c>
      <c r="B18" s="169"/>
      <c r="C18" s="169"/>
      <c r="D18" s="169"/>
      <c r="E18" s="170"/>
      <c r="F18" s="168" t="s">
        <v>7</v>
      </c>
      <c r="G18" s="169"/>
      <c r="H18" s="169"/>
      <c r="I18" s="169"/>
      <c r="J18" s="170"/>
    </row>
    <row r="19" spans="1:13" ht="18.600000000000001" customHeight="1" x14ac:dyDescent="0.25">
      <c r="A19" s="25" t="s">
        <v>8</v>
      </c>
      <c r="B19" s="26" t="s">
        <v>9</v>
      </c>
      <c r="C19" s="26" t="s">
        <v>10</v>
      </c>
      <c r="D19" s="26" t="s">
        <v>11</v>
      </c>
      <c r="E19" s="27" t="s">
        <v>12</v>
      </c>
      <c r="F19" s="25" t="s">
        <v>8</v>
      </c>
      <c r="G19" s="26" t="s">
        <v>9</v>
      </c>
      <c r="H19" s="26" t="s">
        <v>13</v>
      </c>
      <c r="I19" s="26" t="s">
        <v>11</v>
      </c>
      <c r="J19" s="27" t="s">
        <v>12</v>
      </c>
    </row>
    <row r="20" spans="1:13" ht="22.5" x14ac:dyDescent="0.25">
      <c r="A20" s="50">
        <f>+'Payroll Data'!E3</f>
        <v>45900</v>
      </c>
      <c r="B20" s="51" t="s">
        <v>14</v>
      </c>
      <c r="C20" s="28">
        <v>1</v>
      </c>
      <c r="D20" s="38">
        <f>SUM('Payroll Data'!G9)</f>
        <v>1000000</v>
      </c>
      <c r="E20" s="39">
        <f>SUM(C20*D20)</f>
        <v>1000000</v>
      </c>
      <c r="F20" s="50"/>
      <c r="G20" s="51"/>
      <c r="H20" s="22"/>
      <c r="I20" s="38"/>
      <c r="J20" s="39"/>
    </row>
    <row r="21" spans="1:13" ht="22.5" hidden="1" x14ac:dyDescent="0.25">
      <c r="A21" s="50">
        <f>+'Payroll Data'!E3</f>
        <v>45900</v>
      </c>
      <c r="B21" s="51" t="s">
        <v>21</v>
      </c>
      <c r="C21" s="28">
        <v>1</v>
      </c>
      <c r="D21" s="38">
        <f>SUM('Payroll Data'!H9)</f>
        <v>0</v>
      </c>
      <c r="E21" s="39">
        <f t="shared" ref="E21:E28" si="0">SUM(C21*D21)</f>
        <v>0</v>
      </c>
      <c r="F21" s="50"/>
      <c r="G21" s="51"/>
      <c r="H21" s="22"/>
      <c r="I21" s="38"/>
      <c r="J21" s="39"/>
    </row>
    <row r="22" spans="1:13" hidden="1" x14ac:dyDescent="0.25">
      <c r="A22" s="50">
        <f>+'Payroll Data'!E3</f>
        <v>45900</v>
      </c>
      <c r="B22" s="51" t="s">
        <v>22</v>
      </c>
      <c r="C22" s="28">
        <v>1</v>
      </c>
      <c r="D22" s="38">
        <f>SUM('Payroll Data'!I9)</f>
        <v>0</v>
      </c>
      <c r="E22" s="39">
        <f t="shared" si="0"/>
        <v>0</v>
      </c>
      <c r="F22" s="50"/>
      <c r="G22" s="51"/>
      <c r="H22" s="22"/>
      <c r="I22" s="38"/>
      <c r="J22" s="39"/>
    </row>
    <row r="23" spans="1:13" hidden="1" x14ac:dyDescent="0.25">
      <c r="A23" s="50">
        <f>+'Payroll Data'!E3</f>
        <v>45900</v>
      </c>
      <c r="B23" s="51" t="s">
        <v>23</v>
      </c>
      <c r="C23" s="28">
        <v>1</v>
      </c>
      <c r="D23" s="38">
        <f>SUM('Payroll Data'!J9)</f>
        <v>0</v>
      </c>
      <c r="E23" s="39">
        <f t="shared" si="0"/>
        <v>0</v>
      </c>
      <c r="F23" s="50"/>
      <c r="G23" s="51"/>
      <c r="H23" s="22"/>
      <c r="I23" s="38"/>
      <c r="J23" s="39"/>
    </row>
    <row r="24" spans="1:13" ht="17.100000000000001" hidden="1" customHeight="1" x14ac:dyDescent="0.25">
      <c r="A24" s="50">
        <f>+'Payroll Data'!E3</f>
        <v>45900</v>
      </c>
      <c r="B24" s="51" t="s">
        <v>24</v>
      </c>
      <c r="C24" s="28">
        <v>1</v>
      </c>
      <c r="D24" s="38">
        <f>SUM('Payroll Data'!K9)</f>
        <v>0</v>
      </c>
      <c r="E24" s="39">
        <f t="shared" si="0"/>
        <v>0</v>
      </c>
      <c r="F24" s="54"/>
      <c r="G24" s="51"/>
      <c r="H24" s="22"/>
      <c r="I24" s="38"/>
      <c r="J24" s="39"/>
    </row>
    <row r="25" spans="1:13" hidden="1" x14ac:dyDescent="0.25">
      <c r="A25" s="50">
        <f>+'Payroll Data'!E3</f>
        <v>45900</v>
      </c>
      <c r="B25" s="51" t="s">
        <v>70</v>
      </c>
      <c r="C25" s="28">
        <v>1</v>
      </c>
      <c r="D25" s="38">
        <f>SUM('Payroll Data'!L9)</f>
        <v>0</v>
      </c>
      <c r="E25" s="39">
        <f t="shared" si="0"/>
        <v>0</v>
      </c>
      <c r="F25" s="54"/>
      <c r="G25" s="51"/>
      <c r="H25" s="22"/>
      <c r="I25" s="38"/>
      <c r="J25" s="39"/>
    </row>
    <row r="26" spans="1:13" hidden="1" x14ac:dyDescent="0.25">
      <c r="A26" s="50">
        <f>+'Payroll Data'!E3</f>
        <v>45900</v>
      </c>
      <c r="B26" s="51" t="s">
        <v>26</v>
      </c>
      <c r="C26" s="28">
        <v>1</v>
      </c>
      <c r="D26" s="38">
        <f>SUM('Payroll Data'!M9)</f>
        <v>0</v>
      </c>
      <c r="E26" s="39">
        <f t="shared" si="0"/>
        <v>0</v>
      </c>
      <c r="F26" s="54"/>
      <c r="G26" s="51"/>
      <c r="H26" s="22"/>
      <c r="I26" s="38"/>
      <c r="J26" s="39"/>
    </row>
    <row r="27" spans="1:13" ht="22.5" hidden="1" x14ac:dyDescent="0.25">
      <c r="A27" s="50">
        <f>+'Payroll Data'!E3</f>
        <v>45900</v>
      </c>
      <c r="B27" s="51" t="s">
        <v>60</v>
      </c>
      <c r="C27" s="28">
        <v>1</v>
      </c>
      <c r="D27" s="38">
        <f>SUM('Payroll Data'!N9)</f>
        <v>0</v>
      </c>
      <c r="E27" s="39">
        <f t="shared" si="0"/>
        <v>0</v>
      </c>
      <c r="F27" s="54"/>
      <c r="G27" s="51"/>
      <c r="H27" s="22"/>
      <c r="I27" s="44"/>
      <c r="J27" s="45"/>
      <c r="M27" s="24"/>
    </row>
    <row r="28" spans="1:13" hidden="1" x14ac:dyDescent="0.25">
      <c r="A28" s="50">
        <f>+'Payroll Data'!E3</f>
        <v>45900</v>
      </c>
      <c r="B28" s="51" t="s">
        <v>27</v>
      </c>
      <c r="C28" s="28">
        <v>1</v>
      </c>
      <c r="D28" s="38">
        <f>SUM('Payroll Data'!O9)</f>
        <v>0</v>
      </c>
      <c r="E28" s="39">
        <f t="shared" si="0"/>
        <v>0</v>
      </c>
      <c r="F28" s="54"/>
      <c r="G28" s="51"/>
      <c r="H28" s="22"/>
      <c r="I28" s="38"/>
      <c r="J28" s="39"/>
    </row>
    <row r="29" spans="1:13" ht="22.5" hidden="1" x14ac:dyDescent="0.25">
      <c r="A29" s="50">
        <f>+'Payroll Data'!E3</f>
        <v>45900</v>
      </c>
      <c r="B29" s="51" t="s">
        <v>28</v>
      </c>
      <c r="C29" s="28">
        <f>SUM('Payroll Data'!AC9)</f>
        <v>0</v>
      </c>
      <c r="D29" s="38">
        <f>SUM('Payroll Data'!V9)</f>
        <v>0</v>
      </c>
      <c r="E29" s="39">
        <f t="shared" ref="E29:E34" si="1">SUM(C29*D29)</f>
        <v>0</v>
      </c>
      <c r="F29" s="54"/>
      <c r="G29" s="51"/>
      <c r="H29" s="22"/>
      <c r="I29" s="38"/>
      <c r="J29" s="39"/>
    </row>
    <row r="30" spans="1:13" ht="22.5" hidden="1" x14ac:dyDescent="0.25">
      <c r="A30" s="50">
        <f>+'Payroll Data'!E3</f>
        <v>45900</v>
      </c>
      <c r="B30" s="51" t="s">
        <v>29</v>
      </c>
      <c r="C30" s="28">
        <f>SUM('Payroll Data'!AD9)</f>
        <v>5</v>
      </c>
      <c r="D30" s="38">
        <f>SUM('Payroll Data'!W9)</f>
        <v>50000</v>
      </c>
      <c r="E30" s="39">
        <f t="shared" si="1"/>
        <v>250000</v>
      </c>
      <c r="F30" s="54"/>
      <c r="G30" s="51"/>
      <c r="H30" s="22"/>
      <c r="I30" s="38"/>
      <c r="J30" s="39"/>
    </row>
    <row r="31" spans="1:13" ht="22.5" hidden="1" x14ac:dyDescent="0.25">
      <c r="A31" s="50">
        <f>+'Payroll Data'!E3</f>
        <v>45900</v>
      </c>
      <c r="B31" s="51" t="s">
        <v>30</v>
      </c>
      <c r="C31" s="28">
        <f>SUM('Payroll Data'!AE9)</f>
        <v>0</v>
      </c>
      <c r="D31" s="38">
        <f>SUM('Payroll Data'!X9)</f>
        <v>0</v>
      </c>
      <c r="E31" s="39">
        <f t="shared" si="1"/>
        <v>0</v>
      </c>
      <c r="F31" s="54"/>
      <c r="G31" s="51"/>
      <c r="H31" s="22"/>
      <c r="I31" s="38"/>
      <c r="J31" s="39"/>
    </row>
    <row r="32" spans="1:13" ht="22.5" x14ac:dyDescent="0.25">
      <c r="A32" s="50">
        <f>+'Payroll Data'!E3</f>
        <v>45900</v>
      </c>
      <c r="B32" s="51" t="s">
        <v>31</v>
      </c>
      <c r="C32" s="28">
        <f>SUM('Payroll Data'!AF9)</f>
        <v>0</v>
      </c>
      <c r="D32" s="38">
        <f>SUM('Payroll Data'!Y9)</f>
        <v>0</v>
      </c>
      <c r="E32" s="39">
        <f t="shared" si="1"/>
        <v>0</v>
      </c>
      <c r="F32" s="54"/>
      <c r="G32" s="51"/>
      <c r="H32" s="22"/>
      <c r="I32" s="38"/>
      <c r="J32" s="39"/>
    </row>
    <row r="33" spans="1:13" ht="22.5" x14ac:dyDescent="0.25">
      <c r="A33" s="50">
        <f>+'Payroll Data'!E3</f>
        <v>45900</v>
      </c>
      <c r="B33" s="51" t="s">
        <v>32</v>
      </c>
      <c r="C33" s="28">
        <f>SUM('Payroll Data'!AG9)</f>
        <v>0</v>
      </c>
      <c r="D33" s="38">
        <f>SUM('Payroll Data'!Z9)</f>
        <v>0</v>
      </c>
      <c r="E33" s="39">
        <f t="shared" si="1"/>
        <v>0</v>
      </c>
      <c r="F33" s="54"/>
      <c r="G33" s="51"/>
      <c r="H33" s="22"/>
      <c r="I33" s="38"/>
      <c r="J33" s="39"/>
    </row>
    <row r="34" spans="1:13" hidden="1" x14ac:dyDescent="0.25">
      <c r="A34" s="50">
        <f>+'Payroll Data'!E3</f>
        <v>45900</v>
      </c>
      <c r="B34" s="51" t="s">
        <v>55</v>
      </c>
      <c r="C34" s="28">
        <f>SUM('Payroll Data'!AH9)</f>
        <v>0</v>
      </c>
      <c r="D34" s="38">
        <f>SUM('Payroll Data'!AA9)</f>
        <v>0</v>
      </c>
      <c r="E34" s="39">
        <f t="shared" si="1"/>
        <v>0</v>
      </c>
      <c r="F34" s="54"/>
      <c r="G34" s="51"/>
      <c r="H34" s="22"/>
      <c r="I34" s="38"/>
      <c r="J34" s="39"/>
    </row>
    <row r="35" spans="1:13" hidden="1" x14ac:dyDescent="0.25">
      <c r="A35" s="50"/>
      <c r="B35" s="51"/>
      <c r="C35" s="22"/>
      <c r="D35" s="38"/>
      <c r="E35" s="39"/>
      <c r="F35" s="50">
        <f>+'Payroll Data'!E3</f>
        <v>45900</v>
      </c>
      <c r="G35" s="51" t="s">
        <v>33</v>
      </c>
      <c r="H35" s="28">
        <v>-1</v>
      </c>
      <c r="I35" s="38">
        <f>+'Payroll Data'!P9</f>
        <v>0</v>
      </c>
      <c r="J35" s="39">
        <f>SUM(H35*I35)</f>
        <v>0</v>
      </c>
    </row>
    <row r="36" spans="1:13" ht="22.5" x14ac:dyDescent="0.25">
      <c r="A36" s="50"/>
      <c r="B36" s="51"/>
      <c r="C36" s="22"/>
      <c r="D36" s="38"/>
      <c r="E36" s="39"/>
      <c r="F36" s="50">
        <f>+'Payroll Data'!E3</f>
        <v>45900</v>
      </c>
      <c r="G36" s="51" t="s">
        <v>15</v>
      </c>
      <c r="H36" s="28">
        <v>-1</v>
      </c>
      <c r="I36" s="38">
        <f>+'Payroll Data'!Q9</f>
        <v>0</v>
      </c>
      <c r="J36" s="39">
        <f>SUM(H36*I36)</f>
        <v>0</v>
      </c>
    </row>
    <row r="37" spans="1:13" ht="33.75" hidden="1" x14ac:dyDescent="0.25">
      <c r="A37" s="50"/>
      <c r="B37" s="51"/>
      <c r="C37" s="22"/>
      <c r="D37" s="38"/>
      <c r="E37" s="39"/>
      <c r="F37" s="50">
        <f>+'Payroll Data'!E3</f>
        <v>45900</v>
      </c>
      <c r="G37" s="51" t="s">
        <v>34</v>
      </c>
      <c r="H37" s="28">
        <v>-1</v>
      </c>
      <c r="I37" s="38">
        <f>+'Payroll Data'!S9</f>
        <v>0</v>
      </c>
      <c r="J37" s="39">
        <f>SUM(H37*I37)</f>
        <v>0</v>
      </c>
    </row>
    <row r="38" spans="1:13" ht="22.5" hidden="1" x14ac:dyDescent="0.25">
      <c r="A38" s="50"/>
      <c r="B38" s="51"/>
      <c r="C38" s="22"/>
      <c r="D38" s="44"/>
      <c r="E38" s="45"/>
      <c r="F38" s="50">
        <f>+'Payroll Data'!E3</f>
        <v>45900</v>
      </c>
      <c r="G38" s="51" t="s">
        <v>63</v>
      </c>
      <c r="H38" s="28">
        <v>-1</v>
      </c>
      <c r="I38" s="38">
        <f>+'Payroll Data'!T9</f>
        <v>0</v>
      </c>
      <c r="J38" s="39">
        <f>SUM(H38*I38)</f>
        <v>0</v>
      </c>
      <c r="M38" s="24"/>
    </row>
    <row r="39" spans="1:13" ht="15" hidden="1" customHeight="1" x14ac:dyDescent="0.25">
      <c r="A39" s="52"/>
      <c r="B39" s="53"/>
      <c r="C39" s="30"/>
      <c r="D39" s="40"/>
      <c r="E39" s="41"/>
      <c r="F39" s="52">
        <f>+'Payroll Data'!E3</f>
        <v>45900</v>
      </c>
      <c r="G39" s="53" t="s">
        <v>35</v>
      </c>
      <c r="H39" s="29">
        <v>-1</v>
      </c>
      <c r="I39" s="40">
        <f>+'Payroll Data'!U9</f>
        <v>0</v>
      </c>
      <c r="J39" s="41">
        <f>SUM(H39*I39)</f>
        <v>0</v>
      </c>
    </row>
    <row r="40" spans="1:13" ht="14.45" customHeight="1" x14ac:dyDescent="0.25">
      <c r="A40" s="168" t="s">
        <v>16</v>
      </c>
      <c r="B40" s="169"/>
      <c r="C40" s="169"/>
      <c r="D40" s="170"/>
      <c r="E40" s="43">
        <f>SUM(E20:E39)</f>
        <v>1250000</v>
      </c>
      <c r="F40" s="168" t="s">
        <v>17</v>
      </c>
      <c r="G40" s="169"/>
      <c r="H40" s="169"/>
      <c r="I40" s="170"/>
      <c r="J40" s="42">
        <f>SUM(J20:J39)</f>
        <v>0</v>
      </c>
    </row>
    <row r="41" spans="1:13" x14ac:dyDescent="0.25">
      <c r="A41" s="1"/>
    </row>
    <row r="42" spans="1:13" ht="16.5" x14ac:dyDescent="0.25">
      <c r="A42" s="2"/>
    </row>
    <row r="43" spans="1:13" x14ac:dyDescent="0.25">
      <c r="F43" s="165"/>
      <c r="G43" s="166"/>
      <c r="H43" s="166"/>
      <c r="I43" s="166"/>
      <c r="J43" s="167"/>
    </row>
    <row r="44" spans="1:13" x14ac:dyDescent="0.25">
      <c r="F44" s="159" t="s">
        <v>18</v>
      </c>
      <c r="G44" s="160"/>
      <c r="H44" s="161"/>
      <c r="I44" s="189">
        <f>+E40</f>
        <v>1250000</v>
      </c>
      <c r="J44" s="190"/>
    </row>
    <row r="45" spans="1:13" x14ac:dyDescent="0.25">
      <c r="F45" s="159" t="s">
        <v>19</v>
      </c>
      <c r="G45" s="160"/>
      <c r="H45" s="161"/>
      <c r="I45" s="189">
        <f>+J40</f>
        <v>0</v>
      </c>
      <c r="J45" s="190"/>
    </row>
    <row r="46" spans="1:13" ht="15" customHeight="1" x14ac:dyDescent="0.25">
      <c r="F46" s="33"/>
      <c r="G46" s="33"/>
      <c r="H46" s="34"/>
      <c r="I46" s="34"/>
      <c r="J46" s="34"/>
    </row>
    <row r="47" spans="1:13" x14ac:dyDescent="0.25">
      <c r="F47" s="162" t="s">
        <v>20</v>
      </c>
      <c r="G47" s="163"/>
      <c r="H47" s="164"/>
      <c r="I47" s="189">
        <f>SUM(I44+I45)</f>
        <v>1250000</v>
      </c>
      <c r="J47" s="190"/>
    </row>
    <row r="48" spans="1:13" x14ac:dyDescent="0.25">
      <c r="A48" s="3"/>
      <c r="B48" s="55"/>
    </row>
    <row r="49" spans="1:2" x14ac:dyDescent="0.25">
      <c r="A49" s="3"/>
      <c r="B49" s="55"/>
    </row>
    <row r="50" spans="1:2" x14ac:dyDescent="0.25">
      <c r="A50" s="3"/>
      <c r="B50" s="55"/>
    </row>
    <row r="51" spans="1:2" x14ac:dyDescent="0.25">
      <c r="A51" s="3"/>
      <c r="B51" s="55"/>
    </row>
    <row r="52" spans="1:2" x14ac:dyDescent="0.25">
      <c r="A52" s="3"/>
      <c r="B52" s="55"/>
    </row>
    <row r="53" spans="1:2" x14ac:dyDescent="0.25">
      <c r="A53" s="4"/>
      <c r="B53" s="57"/>
    </row>
    <row r="54" spans="1:2" x14ac:dyDescent="0.25">
      <c r="A54" s="4"/>
      <c r="B54" s="57"/>
    </row>
    <row r="55" spans="1:2" x14ac:dyDescent="0.25">
      <c r="A55" s="3"/>
      <c r="B55" s="55"/>
    </row>
  </sheetData>
  <autoFilter ref="A17:J40" xr:uid="{33EF4436-0E20-41DA-A9FA-E98501569571}">
    <filterColumn colId="4">
      <filters blank="1">
        <filter val="$14,150.00"/>
        <filter val="$2,400.00"/>
        <filter val="$4,750.00"/>
        <filter val="$7,000.00"/>
        <filter val="Amount"/>
      </filters>
    </filterColumn>
    <filterColumn colId="9">
      <filters blank="1">
        <filter val="-$1,050.00"/>
        <filter val="Amount"/>
      </filters>
    </filterColumn>
  </autoFilter>
  <mergeCells count="23">
    <mergeCell ref="F45:H45"/>
    <mergeCell ref="I45:J45"/>
    <mergeCell ref="F47:H47"/>
    <mergeCell ref="I47:J47"/>
    <mergeCell ref="A12:J12"/>
    <mergeCell ref="A13:E13"/>
    <mergeCell ref="A14:B14"/>
    <mergeCell ref="C14:E14"/>
    <mergeCell ref="I14:J14"/>
    <mergeCell ref="F13:G13"/>
    <mergeCell ref="H13:J13"/>
    <mergeCell ref="F14:G14"/>
    <mergeCell ref="A15:B15"/>
    <mergeCell ref="C15:E15"/>
    <mergeCell ref="I15:J15"/>
    <mergeCell ref="A18:E18"/>
    <mergeCell ref="F44:H44"/>
    <mergeCell ref="I44:J44"/>
    <mergeCell ref="F18:J18"/>
    <mergeCell ref="F15:G15"/>
    <mergeCell ref="A40:D40"/>
    <mergeCell ref="F40:I40"/>
    <mergeCell ref="F43:J4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32E9-F236-4BB3-A21C-E4533F57F858}">
  <sheetPr filterMode="1"/>
  <dimension ref="A12:M55"/>
  <sheetViews>
    <sheetView topLeftCell="A10" workbookViewId="0">
      <selection activeCell="N37" sqref="N37"/>
    </sheetView>
  </sheetViews>
  <sheetFormatPr defaultRowHeight="15" x14ac:dyDescent="0.25"/>
  <cols>
    <col min="2" max="2" width="9.42578125" customWidth="1"/>
    <col min="3" max="3" width="5.140625" customWidth="1"/>
    <col min="4" max="4" width="10.5703125" customWidth="1"/>
    <col min="5" max="5" width="11" customWidth="1"/>
    <col min="7" max="7" width="7.140625" customWidth="1"/>
    <col min="8" max="8" width="12.140625" customWidth="1"/>
    <col min="9" max="9" width="6" customWidth="1"/>
    <col min="10" max="10" width="7.5703125" customWidth="1"/>
  </cols>
  <sheetData>
    <row r="12" spans="1:10" ht="14.45" customHeight="1" x14ac:dyDescent="0.25">
      <c r="A12" s="174" t="s">
        <v>0</v>
      </c>
      <c r="B12" s="175"/>
      <c r="C12" s="175"/>
      <c r="D12" s="175"/>
      <c r="E12" s="175"/>
      <c r="F12" s="175"/>
      <c r="G12" s="175"/>
      <c r="H12" s="175"/>
      <c r="I12" s="175"/>
      <c r="J12" s="176"/>
    </row>
    <row r="13" spans="1:10" x14ac:dyDescent="0.25">
      <c r="A13" s="177" t="s">
        <v>1</v>
      </c>
      <c r="B13" s="178"/>
      <c r="C13" s="178"/>
      <c r="D13" s="178"/>
      <c r="E13" s="179"/>
      <c r="F13" s="185" t="s">
        <v>53</v>
      </c>
      <c r="G13" s="186"/>
      <c r="H13" s="187" t="str">
        <f>+'Payroll Data'!C9</f>
        <v xml:space="preserve">Gabon </v>
      </c>
      <c r="I13" s="187"/>
      <c r="J13" s="188"/>
    </row>
    <row r="14" spans="1:10" ht="14.45" customHeight="1" x14ac:dyDescent="0.25">
      <c r="A14" s="180" t="s">
        <v>2</v>
      </c>
      <c r="B14" s="181"/>
      <c r="C14" s="180" t="s">
        <v>3</v>
      </c>
      <c r="D14" s="182"/>
      <c r="E14" s="181"/>
      <c r="F14" s="180" t="s">
        <v>57</v>
      </c>
      <c r="G14" s="182"/>
      <c r="H14" s="32" t="s">
        <v>4</v>
      </c>
      <c r="I14" s="183" t="s">
        <v>5</v>
      </c>
      <c r="J14" s="184"/>
    </row>
    <row r="15" spans="1:10" x14ac:dyDescent="0.25">
      <c r="A15" s="171" t="str">
        <f>+'Payroll Data'!A9</f>
        <v>005</v>
      </c>
      <c r="B15" s="172"/>
      <c r="C15" s="171" t="str">
        <f>+'Payroll Data'!B9</f>
        <v>Employee E</v>
      </c>
      <c r="D15" s="173"/>
      <c r="E15" s="172"/>
      <c r="F15" s="171" t="s">
        <v>56</v>
      </c>
      <c r="G15" s="172"/>
      <c r="H15" s="31" t="str">
        <f>+'Payroll Data'!A3</f>
        <v>Test Date</v>
      </c>
      <c r="I15" s="171" t="str">
        <f>+'Payroll Data'!C3</f>
        <v>Test period</v>
      </c>
      <c r="J15" s="172"/>
    </row>
    <row r="18" spans="1:13" ht="14.45" hidden="1" customHeight="1" x14ac:dyDescent="0.25">
      <c r="A18" s="168" t="s">
        <v>6</v>
      </c>
      <c r="B18" s="169"/>
      <c r="C18" s="169"/>
      <c r="D18" s="169"/>
      <c r="E18" s="170"/>
      <c r="F18" s="168" t="s">
        <v>7</v>
      </c>
      <c r="G18" s="169"/>
      <c r="H18" s="169"/>
      <c r="I18" s="169"/>
      <c r="J18" s="170"/>
    </row>
    <row r="19" spans="1:13" ht="22.5" x14ac:dyDescent="0.25">
      <c r="A19" s="25" t="s">
        <v>8</v>
      </c>
      <c r="B19" s="26" t="s">
        <v>9</v>
      </c>
      <c r="C19" s="26" t="s">
        <v>10</v>
      </c>
      <c r="D19" s="26" t="s">
        <v>11</v>
      </c>
      <c r="E19" s="27" t="s">
        <v>12</v>
      </c>
      <c r="F19" s="25" t="s">
        <v>8</v>
      </c>
      <c r="G19" s="26" t="s">
        <v>9</v>
      </c>
      <c r="H19" s="26" t="s">
        <v>13</v>
      </c>
      <c r="I19" s="26" t="s">
        <v>11</v>
      </c>
      <c r="J19" s="27" t="s">
        <v>12</v>
      </c>
    </row>
    <row r="20" spans="1:13" ht="33.75" x14ac:dyDescent="0.25">
      <c r="A20" s="50">
        <f>+'Payroll Data'!E3</f>
        <v>45900</v>
      </c>
      <c r="B20" s="51" t="s">
        <v>14</v>
      </c>
      <c r="C20" s="28">
        <v>1</v>
      </c>
      <c r="D20" s="28">
        <f>SUM('Payroll Data'!G9)</f>
        <v>1000000</v>
      </c>
      <c r="E20" s="58">
        <f>SUM(C20*D20)</f>
        <v>1000000</v>
      </c>
      <c r="F20" s="50"/>
      <c r="G20" s="51"/>
      <c r="H20" s="22"/>
      <c r="I20" s="28"/>
      <c r="J20" s="58"/>
    </row>
    <row r="21" spans="1:13" ht="22.5" hidden="1" x14ac:dyDescent="0.25">
      <c r="A21" s="50">
        <f>+'Payroll Data'!E3</f>
        <v>45900</v>
      </c>
      <c r="B21" s="51" t="s">
        <v>21</v>
      </c>
      <c r="C21" s="28">
        <v>1</v>
      </c>
      <c r="D21" s="28">
        <f>SUM('Payroll Data'!H9)</f>
        <v>0</v>
      </c>
      <c r="E21" s="58">
        <f t="shared" ref="E21:E28" si="0">SUM(C21*D21)</f>
        <v>0</v>
      </c>
      <c r="F21" s="50"/>
      <c r="G21" s="51"/>
      <c r="H21" s="22"/>
      <c r="I21" s="28"/>
      <c r="J21" s="58"/>
    </row>
    <row r="22" spans="1:13" ht="22.5" hidden="1" x14ac:dyDescent="0.25">
      <c r="A22" s="50">
        <f>+'Payroll Data'!E3</f>
        <v>45900</v>
      </c>
      <c r="B22" s="51" t="s">
        <v>22</v>
      </c>
      <c r="C22" s="28">
        <v>1</v>
      </c>
      <c r="D22" s="28">
        <f>SUM('Payroll Data'!I9)</f>
        <v>0</v>
      </c>
      <c r="E22" s="58">
        <f t="shared" si="0"/>
        <v>0</v>
      </c>
      <c r="F22" s="50"/>
      <c r="G22" s="51"/>
      <c r="H22" s="22"/>
      <c r="I22" s="28"/>
      <c r="J22" s="58"/>
    </row>
    <row r="23" spans="1:13" ht="22.5" hidden="1" x14ac:dyDescent="0.25">
      <c r="A23" s="50">
        <f>+'Payroll Data'!E3</f>
        <v>45900</v>
      </c>
      <c r="B23" s="51" t="s">
        <v>23</v>
      </c>
      <c r="C23" s="28">
        <v>1</v>
      </c>
      <c r="D23" s="28">
        <f>SUM('Payroll Data'!J9)</f>
        <v>0</v>
      </c>
      <c r="E23" s="58">
        <f t="shared" si="0"/>
        <v>0</v>
      </c>
      <c r="F23" s="50"/>
      <c r="G23" s="51"/>
      <c r="H23" s="22"/>
      <c r="I23" s="28"/>
      <c r="J23" s="58"/>
    </row>
    <row r="24" spans="1:13" ht="22.5" hidden="1" x14ac:dyDescent="0.25">
      <c r="A24" s="50">
        <f>+'Payroll Data'!E3</f>
        <v>45900</v>
      </c>
      <c r="B24" s="51" t="s">
        <v>24</v>
      </c>
      <c r="C24" s="28">
        <v>1</v>
      </c>
      <c r="D24" s="28">
        <f>SUM('Payroll Data'!K9)</f>
        <v>0</v>
      </c>
      <c r="E24" s="58">
        <f t="shared" si="0"/>
        <v>0</v>
      </c>
      <c r="F24" s="54"/>
      <c r="G24" s="51"/>
      <c r="H24" s="22"/>
      <c r="I24" s="28"/>
      <c r="J24" s="58"/>
    </row>
    <row r="25" spans="1:13" ht="22.5" hidden="1" x14ac:dyDescent="0.25">
      <c r="A25" s="50">
        <f>+'Payroll Data'!E3</f>
        <v>45900</v>
      </c>
      <c r="B25" s="51" t="s">
        <v>25</v>
      </c>
      <c r="C25" s="28">
        <v>1</v>
      </c>
      <c r="D25" s="28">
        <f>SUM('Payroll Data'!L9)</f>
        <v>0</v>
      </c>
      <c r="E25" s="58">
        <f t="shared" si="0"/>
        <v>0</v>
      </c>
      <c r="F25" s="54"/>
      <c r="G25" s="51"/>
      <c r="H25" s="22"/>
      <c r="I25" s="28"/>
      <c r="J25" s="58"/>
    </row>
    <row r="26" spans="1:13" ht="22.5" hidden="1" x14ac:dyDescent="0.25">
      <c r="A26" s="50">
        <f>+'Payroll Data'!E3</f>
        <v>45900</v>
      </c>
      <c r="B26" s="51" t="s">
        <v>26</v>
      </c>
      <c r="C26" s="28">
        <v>1</v>
      </c>
      <c r="D26" s="28">
        <f>SUM('Payroll Data'!M9)</f>
        <v>0</v>
      </c>
      <c r="E26" s="58">
        <f t="shared" si="0"/>
        <v>0</v>
      </c>
      <c r="F26" s="54"/>
      <c r="G26" s="51"/>
      <c r="H26" s="22"/>
      <c r="I26" s="28"/>
      <c r="J26" s="58"/>
    </row>
    <row r="27" spans="1:13" ht="33.75" hidden="1" x14ac:dyDescent="0.25">
      <c r="A27" s="50">
        <f>+'Payroll Data'!E3</f>
        <v>45900</v>
      </c>
      <c r="B27" s="51" t="s">
        <v>60</v>
      </c>
      <c r="C27" s="28">
        <v>1</v>
      </c>
      <c r="D27" s="28">
        <f>SUM('Payroll Data'!N9)</f>
        <v>0</v>
      </c>
      <c r="E27" s="28">
        <f t="shared" si="0"/>
        <v>0</v>
      </c>
      <c r="F27" s="54"/>
      <c r="G27" s="51"/>
      <c r="H27" s="22"/>
      <c r="I27" s="44"/>
      <c r="J27" s="45"/>
      <c r="M27" s="24"/>
    </row>
    <row r="28" spans="1:13" hidden="1" x14ac:dyDescent="0.25">
      <c r="A28" s="50">
        <f>+'Payroll Data'!E3</f>
        <v>45900</v>
      </c>
      <c r="B28" s="51" t="s">
        <v>27</v>
      </c>
      <c r="C28" s="28">
        <v>1</v>
      </c>
      <c r="D28" s="28">
        <f>SUM('Payroll Data'!O9)</f>
        <v>0</v>
      </c>
      <c r="E28" s="58">
        <f t="shared" si="0"/>
        <v>0</v>
      </c>
      <c r="F28" s="54"/>
      <c r="G28" s="51"/>
      <c r="H28" s="22"/>
      <c r="I28" s="28"/>
      <c r="J28" s="58"/>
    </row>
    <row r="29" spans="1:13" ht="45" hidden="1" x14ac:dyDescent="0.25">
      <c r="A29" s="50">
        <f>+'Payroll Data'!E3</f>
        <v>45900</v>
      </c>
      <c r="B29" s="51" t="s">
        <v>28</v>
      </c>
      <c r="C29" s="28">
        <f>SUM('Payroll Data'!AC9)</f>
        <v>0</v>
      </c>
      <c r="D29" s="28">
        <f>SUM('Payroll Data'!V9)</f>
        <v>0</v>
      </c>
      <c r="E29" s="58">
        <f t="shared" ref="E29:E34" si="1">SUM(C29*D29)</f>
        <v>0</v>
      </c>
      <c r="F29" s="54"/>
      <c r="G29" s="51"/>
      <c r="H29" s="22"/>
      <c r="I29" s="28"/>
      <c r="J29" s="58"/>
    </row>
    <row r="30" spans="1:13" ht="33.75" x14ac:dyDescent="0.25">
      <c r="A30" s="50">
        <f>+'Payroll Data'!E3</f>
        <v>45900</v>
      </c>
      <c r="B30" s="51" t="s">
        <v>29</v>
      </c>
      <c r="C30" s="28">
        <f>SUM('Payroll Data'!AD9)</f>
        <v>5</v>
      </c>
      <c r="D30" s="28">
        <f>SUM('Payroll Data'!W9)</f>
        <v>50000</v>
      </c>
      <c r="E30" s="58">
        <f t="shared" si="1"/>
        <v>250000</v>
      </c>
      <c r="F30" s="54"/>
      <c r="G30" s="51"/>
      <c r="H30" s="22"/>
      <c r="I30" s="28"/>
      <c r="J30" s="58"/>
    </row>
    <row r="31" spans="1:13" ht="33.75" hidden="1" x14ac:dyDescent="0.25">
      <c r="A31" s="50">
        <f>+'Payroll Data'!E3</f>
        <v>45900</v>
      </c>
      <c r="B31" s="51" t="s">
        <v>30</v>
      </c>
      <c r="C31" s="28">
        <f>SUM('Payroll Data'!AE9)</f>
        <v>0</v>
      </c>
      <c r="D31" s="28">
        <f>SUM('Payroll Data'!X9)</f>
        <v>0</v>
      </c>
      <c r="E31" s="58">
        <f t="shared" si="1"/>
        <v>0</v>
      </c>
      <c r="F31" s="54"/>
      <c r="G31" s="51"/>
      <c r="H31" s="22"/>
      <c r="I31" s="28"/>
      <c r="J31" s="58"/>
    </row>
    <row r="32" spans="1:13" ht="33.75" hidden="1" x14ac:dyDescent="0.25">
      <c r="A32" s="50">
        <f>+'Payroll Data'!E3</f>
        <v>45900</v>
      </c>
      <c r="B32" s="51" t="s">
        <v>31</v>
      </c>
      <c r="C32" s="28">
        <f>SUM('Payroll Data'!AF9)</f>
        <v>0</v>
      </c>
      <c r="D32" s="28">
        <f>SUM('Payroll Data'!Y9)</f>
        <v>0</v>
      </c>
      <c r="E32" s="58">
        <f t="shared" si="1"/>
        <v>0</v>
      </c>
      <c r="F32" s="54"/>
      <c r="G32" s="51"/>
      <c r="H32" s="22"/>
      <c r="I32" s="28"/>
      <c r="J32" s="58"/>
    </row>
    <row r="33" spans="1:13" ht="33.75" hidden="1" x14ac:dyDescent="0.25">
      <c r="A33" s="50">
        <f>+'Payroll Data'!E3</f>
        <v>45900</v>
      </c>
      <c r="B33" s="51" t="s">
        <v>32</v>
      </c>
      <c r="C33" s="28">
        <f>SUM('Payroll Data'!AG9)</f>
        <v>0</v>
      </c>
      <c r="D33" s="28">
        <f>SUM('Payroll Data'!Z9)</f>
        <v>0</v>
      </c>
      <c r="E33" s="58">
        <f t="shared" si="1"/>
        <v>0</v>
      </c>
      <c r="F33" s="54"/>
      <c r="G33" s="51"/>
      <c r="H33" s="22"/>
      <c r="I33" s="28"/>
      <c r="J33" s="58"/>
    </row>
    <row r="34" spans="1:13" hidden="1" x14ac:dyDescent="0.25">
      <c r="A34" s="50">
        <f>+'Payroll Data'!E3</f>
        <v>45900</v>
      </c>
      <c r="B34" s="51" t="s">
        <v>55</v>
      </c>
      <c r="C34" s="28">
        <f>SUM('Payroll Data'!AH9)</f>
        <v>0</v>
      </c>
      <c r="D34" s="28">
        <f>SUM('Payroll Data'!AA9)</f>
        <v>0</v>
      </c>
      <c r="E34" s="58">
        <f t="shared" si="1"/>
        <v>0</v>
      </c>
      <c r="F34" s="54"/>
      <c r="G34" s="51"/>
      <c r="H34" s="22"/>
      <c r="I34" s="28"/>
      <c r="J34" s="58"/>
    </row>
    <row r="35" spans="1:13" hidden="1" x14ac:dyDescent="0.25">
      <c r="A35" s="50"/>
      <c r="B35" s="51"/>
      <c r="C35" s="22"/>
      <c r="D35" s="28"/>
      <c r="E35" s="58"/>
      <c r="F35" s="50">
        <f>+'Payroll Data'!E3</f>
        <v>45900</v>
      </c>
      <c r="G35" s="51" t="s">
        <v>33</v>
      </c>
      <c r="H35" s="28">
        <v>-1</v>
      </c>
      <c r="I35" s="28">
        <f>+'Payroll Data'!P9</f>
        <v>0</v>
      </c>
      <c r="J35" s="58">
        <f>SUM(H35*I35)</f>
        <v>0</v>
      </c>
    </row>
    <row r="36" spans="1:13" hidden="1" x14ac:dyDescent="0.25">
      <c r="A36" s="50"/>
      <c r="B36" s="51"/>
      <c r="C36" s="22"/>
      <c r="D36" s="28"/>
      <c r="E36" s="58"/>
      <c r="F36" s="50">
        <f>+'Payroll Data'!E3</f>
        <v>45900</v>
      </c>
      <c r="G36" s="51" t="s">
        <v>15</v>
      </c>
      <c r="H36" s="28">
        <v>-1</v>
      </c>
      <c r="I36" s="28">
        <f>+'Payroll Data'!Q9</f>
        <v>0</v>
      </c>
      <c r="J36" s="58">
        <f>SUM(H36*I36)</f>
        <v>0</v>
      </c>
    </row>
    <row r="37" spans="1:13" ht="33.75" hidden="1" x14ac:dyDescent="0.25">
      <c r="A37" s="50"/>
      <c r="B37" s="51"/>
      <c r="C37" s="22"/>
      <c r="D37" s="28"/>
      <c r="E37" s="58"/>
      <c r="F37" s="50">
        <f>+'Payroll Data'!E3</f>
        <v>45900</v>
      </c>
      <c r="G37" s="51" t="s">
        <v>34</v>
      </c>
      <c r="H37" s="28">
        <v>-1</v>
      </c>
      <c r="I37" s="28">
        <f>+'Payroll Data'!S9</f>
        <v>0</v>
      </c>
      <c r="J37" s="58">
        <f>SUM(H37*I37)</f>
        <v>0</v>
      </c>
    </row>
    <row r="38" spans="1:13" ht="22.5" hidden="1" x14ac:dyDescent="0.25">
      <c r="A38" s="50"/>
      <c r="B38" s="51"/>
      <c r="C38" s="22"/>
      <c r="D38" s="44"/>
      <c r="E38" s="45"/>
      <c r="F38" s="50">
        <f>+'Payroll Data'!E3</f>
        <v>45900</v>
      </c>
      <c r="G38" s="51" t="s">
        <v>64</v>
      </c>
      <c r="H38" s="28">
        <v>-1</v>
      </c>
      <c r="I38" s="28">
        <f>+'Payroll Data'!T9</f>
        <v>0</v>
      </c>
      <c r="J38" s="58">
        <f>SUM(H38*I38)</f>
        <v>0</v>
      </c>
      <c r="M38" s="24"/>
    </row>
    <row r="39" spans="1:13" hidden="1" x14ac:dyDescent="0.25">
      <c r="A39" s="52"/>
      <c r="B39" s="53"/>
      <c r="C39" s="30"/>
      <c r="D39" s="29"/>
      <c r="E39" s="59"/>
      <c r="F39" s="52">
        <f>+'Payroll Data'!E3</f>
        <v>45900</v>
      </c>
      <c r="G39" s="53" t="s">
        <v>35</v>
      </c>
      <c r="H39" s="29">
        <v>-1</v>
      </c>
      <c r="I39" s="29">
        <f>+'Payroll Data'!U9</f>
        <v>0</v>
      </c>
      <c r="J39" s="59">
        <f>SUM(H39*I39)</f>
        <v>0</v>
      </c>
    </row>
    <row r="40" spans="1:13" ht="20.100000000000001" customHeight="1" x14ac:dyDescent="0.25">
      <c r="A40" s="168" t="s">
        <v>16</v>
      </c>
      <c r="B40" s="169"/>
      <c r="C40" s="169"/>
      <c r="D40" s="170"/>
      <c r="E40" s="60">
        <f>SUM(E20:E39)</f>
        <v>1250000</v>
      </c>
      <c r="F40" s="168" t="s">
        <v>17</v>
      </c>
      <c r="G40" s="169"/>
      <c r="H40" s="169"/>
      <c r="I40" s="170"/>
      <c r="J40" s="61">
        <f>SUM(J20:J39)</f>
        <v>0</v>
      </c>
    </row>
    <row r="41" spans="1:13" x14ac:dyDescent="0.25">
      <c r="A41" s="1"/>
    </row>
    <row r="42" spans="1:13" ht="16.5" x14ac:dyDescent="0.25">
      <c r="A42" s="2"/>
    </row>
    <row r="43" spans="1:13" x14ac:dyDescent="0.25">
      <c r="F43" s="165"/>
      <c r="G43" s="166"/>
      <c r="H43" s="166"/>
      <c r="I43" s="166"/>
      <c r="J43" s="167"/>
    </row>
    <row r="44" spans="1:13" x14ac:dyDescent="0.25">
      <c r="F44" s="159" t="s">
        <v>18</v>
      </c>
      <c r="G44" s="160"/>
      <c r="H44" s="161"/>
      <c r="I44" s="191">
        <f>+E40</f>
        <v>1250000</v>
      </c>
      <c r="J44" s="192"/>
    </row>
    <row r="45" spans="1:13" x14ac:dyDescent="0.25">
      <c r="F45" s="159" t="s">
        <v>19</v>
      </c>
      <c r="G45" s="160"/>
      <c r="H45" s="161"/>
      <c r="I45" s="191">
        <f>+J40</f>
        <v>0</v>
      </c>
      <c r="J45" s="192"/>
    </row>
    <row r="46" spans="1:13" x14ac:dyDescent="0.25">
      <c r="F46" s="33"/>
      <c r="G46" s="33"/>
      <c r="H46" s="34"/>
      <c r="I46" s="34"/>
      <c r="J46" s="34"/>
    </row>
    <row r="47" spans="1:13" ht="14.45" customHeight="1" x14ac:dyDescent="0.25">
      <c r="F47" s="162" t="s">
        <v>20</v>
      </c>
      <c r="G47" s="163"/>
      <c r="H47" s="164"/>
      <c r="I47" s="191">
        <f>SUM(I44+I45)</f>
        <v>1250000</v>
      </c>
      <c r="J47" s="192"/>
    </row>
    <row r="48" spans="1:13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4"/>
    </row>
    <row r="54" spans="1:1" x14ac:dyDescent="0.25">
      <c r="A54" s="4"/>
    </row>
    <row r="55" spans="1:1" x14ac:dyDescent="0.25">
      <c r="A55" s="3"/>
    </row>
  </sheetData>
  <autoFilter ref="A17:J40" xr:uid="{B5C232E9-F236-4BB3-A21C-E4533F57F858}">
    <filterColumn colId="4">
      <filters>
        <filter val="1,550,000.00"/>
        <filter val="1,646,666.67"/>
        <filter val="3,196,666.67"/>
        <filter val="Amount"/>
      </filters>
    </filterColumn>
  </autoFilter>
  <mergeCells count="23">
    <mergeCell ref="F47:H47"/>
    <mergeCell ref="I47:J47"/>
    <mergeCell ref="A40:D40"/>
    <mergeCell ref="F40:I40"/>
    <mergeCell ref="A12:J12"/>
    <mergeCell ref="A13:E13"/>
    <mergeCell ref="A14:B14"/>
    <mergeCell ref="C14:E14"/>
    <mergeCell ref="I14:J14"/>
    <mergeCell ref="F13:G13"/>
    <mergeCell ref="H13:J13"/>
    <mergeCell ref="F14:G14"/>
    <mergeCell ref="A15:B15"/>
    <mergeCell ref="C15:E15"/>
    <mergeCell ref="I15:J15"/>
    <mergeCell ref="A18:E18"/>
    <mergeCell ref="F45:H45"/>
    <mergeCell ref="I45:J45"/>
    <mergeCell ref="F18:J18"/>
    <mergeCell ref="F15:G15"/>
    <mergeCell ref="F43:J43"/>
    <mergeCell ref="F44:H44"/>
    <mergeCell ref="I44:J44"/>
  </mergeCells>
  <pageMargins left="0.31496062992125984" right="0.31496062992125984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Payroll Data</vt:lpstr>
      <vt:lpstr>Payslip Euro</vt:lpstr>
      <vt:lpstr>Payslip USD</vt:lpstr>
      <vt:lpstr>Payslip XAF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Livastoel</dc:creator>
  <cp:lastModifiedBy>Sheila Ferguson</cp:lastModifiedBy>
  <cp:lastPrinted>2025-08-11T09:29:25Z</cp:lastPrinted>
  <dcterms:created xsi:type="dcterms:W3CDTF">2023-01-28T10:38:32Z</dcterms:created>
  <dcterms:modified xsi:type="dcterms:W3CDTF">2025-08-11T09:29:59Z</dcterms:modified>
</cp:coreProperties>
</file>