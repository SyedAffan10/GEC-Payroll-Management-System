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llboreintegrity-my.sharepoint.com/personal/sferguson_wellboreis_net/Documents/Documents/1.0 Nabeel/Goals and Objectives/GEC automation/"/>
    </mc:Choice>
  </mc:AlternateContent>
  <xr:revisionPtr revIDLastSave="186" documentId="14_{B895F6F7-83B6-414C-BB25-E6345D606BDA}" xr6:coauthVersionLast="47" xr6:coauthVersionMax="47" xr10:uidLastSave="{8090BAF6-2F2D-4C06-86CB-E6782F43779D}"/>
  <bookViews>
    <workbookView xWindow="28680" yWindow="-120" windowWidth="29040" windowHeight="15720" xr2:uid="{BEFAD4E6-C676-4644-BB65-407474A73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M4" i="1"/>
  <c r="M5" i="1"/>
  <c r="M6" i="1"/>
  <c r="M7" i="1"/>
  <c r="M8" i="1"/>
  <c r="M9" i="1"/>
  <c r="M10" i="1"/>
  <c r="M11" i="1"/>
  <c r="M12" i="1"/>
  <c r="M13" i="1"/>
  <c r="M15" i="1"/>
  <c r="M16" i="1"/>
  <c r="M17" i="1"/>
  <c r="M18" i="1"/>
  <c r="M19" i="1"/>
  <c r="M3" i="1"/>
  <c r="K18" i="1"/>
  <c r="K16" i="1"/>
  <c r="K14" i="1"/>
  <c r="K13" i="1"/>
  <c r="K9" i="1"/>
  <c r="K8" i="1"/>
  <c r="K5" i="1"/>
  <c r="K4" i="1"/>
  <c r="K7" i="1"/>
  <c r="K10" i="1"/>
  <c r="K11" i="1"/>
  <c r="K17" i="1"/>
  <c r="K3" i="1"/>
  <c r="G3" i="1"/>
  <c r="J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Sheila Ferguson</author>
  </authors>
  <commentList>
    <comment ref="H2" authorId="0" shapeId="0" xr:uid="{B935A10D-3351-4140-9D70-F8F569D9542D}">
      <text>
        <r>
          <rPr>
            <b/>
            <sz val="9"/>
            <color indexed="81"/>
            <rFont val="Tahoma"/>
            <family val="2"/>
          </rPr>
          <t>Sheila Ferguson:</t>
        </r>
        <r>
          <rPr>
            <sz val="9"/>
            <color indexed="81"/>
            <rFont val="Tahoma"/>
            <family val="2"/>
          </rPr>
          <t xml:space="preserve">
Paid for first 12 months of new assignment only</t>
        </r>
      </text>
    </comment>
    <comment ref="I2" authorId="0" shapeId="0" xr:uid="{21AFF966-2154-4B3B-9F9C-99863B696A1C}">
      <text>
        <r>
          <rPr>
            <b/>
            <sz val="9"/>
            <color indexed="81"/>
            <rFont val="Tahoma"/>
            <family val="2"/>
          </rPr>
          <t>Sheila Ferguson:</t>
        </r>
        <r>
          <rPr>
            <sz val="9"/>
            <color indexed="81"/>
            <rFont val="Tahoma"/>
            <family val="2"/>
          </rPr>
          <t xml:space="preserve">
To be paid once a year at Company discretion
</t>
        </r>
      </text>
    </comment>
    <comment ref="J2" authorId="0" shapeId="0" xr:uid="{DEBD6085-C6B3-4A75-9BFC-456F9E13EC80}">
      <text>
        <r>
          <rPr>
            <b/>
            <sz val="9"/>
            <color indexed="81"/>
            <rFont val="Tahoma"/>
            <family val="2"/>
          </rPr>
          <t>Sheila Ferguson:</t>
        </r>
        <r>
          <rPr>
            <sz val="9"/>
            <color indexed="81"/>
            <rFont val="Tahoma"/>
            <family val="2"/>
          </rPr>
          <t xml:space="preserve">
EMBO calcualted on basic montly salary, Geographic coeffifient, relocation and STIP bonus</t>
        </r>
      </text>
    </comment>
    <comment ref="K2" authorId="0" shapeId="0" xr:uid="{6A1DF486-350C-4C2E-BB9E-22EFD7915621}">
      <text>
        <r>
          <rPr>
            <b/>
            <sz val="9"/>
            <color indexed="81"/>
            <rFont val="Tahoma"/>
            <family val="2"/>
          </rPr>
          <t>Sheila Ferguson:</t>
        </r>
        <r>
          <rPr>
            <sz val="9"/>
            <color indexed="81"/>
            <rFont val="Tahoma"/>
            <family val="2"/>
          </rPr>
          <t xml:space="preserve">
Pension is based on Basic monthly gross salary and STIP.
EE choice - minimum is 3%</t>
        </r>
      </text>
    </comment>
    <comment ref="L2" authorId="0" shapeId="0" xr:uid="{83EBD95C-FD92-4DEE-BC05-1560B4ABD37F}">
      <text>
        <r>
          <rPr>
            <b/>
            <sz val="9"/>
            <color indexed="81"/>
            <rFont val="Tahoma"/>
            <family val="2"/>
          </rPr>
          <t>Sheila Ferguson:</t>
        </r>
        <r>
          <rPr>
            <sz val="9"/>
            <color indexed="81"/>
            <rFont val="Tahoma"/>
            <family val="2"/>
          </rPr>
          <t xml:space="preserve">
For calcualtion purposes only</t>
        </r>
      </text>
    </comment>
    <comment ref="M2" authorId="0" shapeId="0" xr:uid="{34F63E0E-8654-448E-9D16-82F43C91CAB5}">
      <text>
        <r>
          <rPr>
            <b/>
            <sz val="9"/>
            <color indexed="81"/>
            <rFont val="Tahoma"/>
            <family val="2"/>
          </rPr>
          <t>Sheila Ferguson:</t>
        </r>
        <r>
          <rPr>
            <sz val="9"/>
            <color indexed="81"/>
            <rFont val="Tahoma"/>
            <family val="2"/>
          </rPr>
          <t xml:space="preserve">
Contribution based on Basic monthly salary and STIP.
ER contribution matches EE up to 6.5%</t>
        </r>
      </text>
    </comment>
    <comment ref="N2" authorId="0" shapeId="0" xr:uid="{5AFA252F-BE48-4CA8-9A17-593F1A5785CF}">
      <text>
        <r>
          <rPr>
            <b/>
            <sz val="9"/>
            <color indexed="81"/>
            <rFont val="Tahoma"/>
            <family val="2"/>
          </rPr>
          <t>Sheila Ferguson:</t>
        </r>
        <r>
          <rPr>
            <sz val="9"/>
            <color indexed="81"/>
            <rFont val="Tahoma"/>
            <family val="2"/>
          </rPr>
          <t xml:space="preserve">
For calcualtion purposes only</t>
        </r>
      </text>
    </comment>
    <comment ref="L6" authorId="0" shapeId="0" xr:uid="{35683E99-4259-4B58-83BC-201F6C06C83A}">
      <text>
        <r>
          <rPr>
            <b/>
            <sz val="9"/>
            <color indexed="81"/>
            <rFont val="Tahoma"/>
            <family val="2"/>
          </rPr>
          <t>Sheila Ferguson:</t>
        </r>
        <r>
          <rPr>
            <sz val="9"/>
            <color indexed="81"/>
            <rFont val="Tahoma"/>
            <family val="2"/>
          </rPr>
          <t xml:space="preserve">
Fixed amount</t>
        </r>
      </text>
    </comment>
    <comment ref="L12" authorId="0" shapeId="0" xr:uid="{2A48633F-7E08-4961-81F0-CEFBF14C4116}">
      <text>
        <r>
          <rPr>
            <b/>
            <sz val="9"/>
            <color indexed="81"/>
            <rFont val="Tahoma"/>
            <family val="2"/>
          </rPr>
          <t>Sheila Ferguson:</t>
        </r>
        <r>
          <rPr>
            <sz val="9"/>
            <color indexed="81"/>
            <rFont val="Tahoma"/>
            <family val="2"/>
          </rPr>
          <t xml:space="preserve">
Fixed amount</t>
        </r>
      </text>
    </comment>
    <comment ref="L15" authorId="0" shapeId="0" xr:uid="{E308FCD2-ABFB-42FE-BB9F-49893106D93F}">
      <text>
        <r>
          <rPr>
            <b/>
            <sz val="9"/>
            <color indexed="81"/>
            <rFont val="Tahoma"/>
            <family val="2"/>
          </rPr>
          <t>Sheila Ferguson:</t>
        </r>
        <r>
          <rPr>
            <sz val="9"/>
            <color indexed="81"/>
            <rFont val="Tahoma"/>
            <family val="2"/>
          </rPr>
          <t xml:space="preserve">
Fixed amount</t>
        </r>
      </text>
    </comment>
    <comment ref="L19" authorId="0" shapeId="0" xr:uid="{81B6DA32-114C-4CD2-B2D7-1604FDA1793E}">
      <text>
        <r>
          <rPr>
            <b/>
            <sz val="9"/>
            <color indexed="81"/>
            <rFont val="Tahoma"/>
            <family val="2"/>
          </rPr>
          <t>Sheila Ferguson:</t>
        </r>
        <r>
          <rPr>
            <sz val="9"/>
            <color indexed="81"/>
            <rFont val="Tahoma"/>
            <family val="2"/>
          </rPr>
          <t xml:space="preserve">
Fixed amount</t>
        </r>
      </text>
    </comment>
  </commentList>
</comments>
</file>

<file path=xl/sharedStrings.xml><?xml version="1.0" encoding="utf-8"?>
<sst xmlns="http://schemas.openxmlformats.org/spreadsheetml/2006/main" count="41" uniqueCount="26">
  <si>
    <t>EE #</t>
  </si>
  <si>
    <t>Currency for all elements</t>
  </si>
  <si>
    <t>EUR</t>
  </si>
  <si>
    <t>USD</t>
  </si>
  <si>
    <t>XAF</t>
  </si>
  <si>
    <t>Monthly Transport Allowance</t>
  </si>
  <si>
    <t>Monthly Housing Allowance</t>
  </si>
  <si>
    <t>Monthly Geographic Coeffient</t>
  </si>
  <si>
    <t xml:space="preserve">Monthly Relocation </t>
  </si>
  <si>
    <t>Monthly EMBO</t>
  </si>
  <si>
    <t>Monthly EE Pension Contribution</t>
  </si>
  <si>
    <t>Monthly ER Pension Contribution</t>
  </si>
  <si>
    <t>Monthly Basic Salary</t>
  </si>
  <si>
    <t>STIP Bonus</t>
  </si>
  <si>
    <t>Field Bonus / Job Bonus in Country</t>
  </si>
  <si>
    <t>Rotation Premium - In country</t>
  </si>
  <si>
    <t>Standby Rate - In country</t>
  </si>
  <si>
    <t>Wellsite Rate In country</t>
  </si>
  <si>
    <t>Payments</t>
  </si>
  <si>
    <t>Deductions</t>
  </si>
  <si>
    <t>Additional Daily payments</t>
  </si>
  <si>
    <t>EE contribution</t>
  </si>
  <si>
    <t>ER % contribution</t>
  </si>
  <si>
    <t>$420</t>
  </si>
  <si>
    <t>$375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</si>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</sst>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[$€-2]\ #,##0;[Red]\-[$€-2]\ #,##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4" fontId="2" fillId="0" borderId="1" xfId="1" applyNumberFormat="1" applyFont="1" applyFill="1" applyBorder="1" applyAlignment="1" applyProtection="1">
      <alignment horizontal="center" vertical="center"/>
      <protection locked="0"/>
    </xf>
    <xf numFmtId="4" fontId="2" fillId="0" borderId="1" xfId="0" applyNumberFormat="1" applyFont="1" applyFill="1" applyBorder="1" applyAlignment="1" applyProtection="1">
      <alignment horizontal="center" vertical="center"/>
      <protection locked="0"/>
    </xf>
    <xf numFmtId="4" fontId="2" fillId="0" borderId="1" xfId="1" applyNumberFormat="1" applyFont="1" applyFill="1" applyBorder="1" applyAlignment="1" applyProtection="1">
      <alignment horizontal="center"/>
      <protection locked="0"/>
    </xf>
    <xf numFmtId="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49" fontId="2" fillId="0" borderId="1" xfId="0" applyNumberFormat="1" applyFont="1" applyFill="1" applyBorder="1" applyAlignment="1">
      <alignment horizontal="center" vertical="center"/>
    </xf>
    <xf numFmtId="4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4" fontId="0" fillId="2" borderId="1" xfId="0" applyNumberFormat="1" applyFill="1" applyBorder="1"/>
    <xf numFmtId="4" fontId="0" fillId="2" borderId="1" xfId="0" applyNumberFormat="1" applyFill="1" applyBorder="1" applyAlignment="1">
      <alignment wrapText="1"/>
    </xf>
    <xf numFmtId="9" fontId="0" fillId="0" borderId="1" xfId="0" applyNumberFormat="1" applyBorder="1"/>
    <xf numFmtId="10" fontId="0" fillId="0" borderId="0" xfId="0" applyNumberFormat="1"/>
    <xf numFmtId="10" fontId="0" fillId="0" borderId="0" xfId="0" applyNumberFormat="1" applyAlignment="1">
      <alignment wrapText="1"/>
    </xf>
    <xf numFmtId="10" fontId="0" fillId="0" borderId="1" xfId="0" applyNumberFormat="1" applyBorder="1"/>
    <xf numFmtId="10" fontId="0" fillId="2" borderId="1" xfId="0" applyNumberFormat="1" applyFill="1" applyBorder="1"/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wrapText="1"/>
    </xf>
    <xf numFmtId="9" fontId="0" fillId="2" borderId="1" xfId="0" applyNumberFormat="1" applyFill="1" applyBorder="1"/>
    <xf numFmtId="9" fontId="0" fillId="0" borderId="0" xfId="0" applyNumberFormat="1"/>
    <xf numFmtId="166" fontId="0" fillId="0" borderId="1" xfId="0" applyNumberFormat="1" applyBorder="1"/>
    <xf numFmtId="0" fontId="0" fillId="2" borderId="0" xfId="0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4"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1D20B-4840-48B5-984A-1AD3547D3174}">
  <dimension ref="B1:T20"/>
  <sheetViews>
    <sheetView tabSelected="1" workbookViewId="0">
      <selection activeCell="G3" sqref="G3"/>
    </sheetView>
  </sheetViews>
  <sheetFormatPr defaultRowHeight="15" x14ac:dyDescent="0.25"/>
  <cols>
    <col min="2" max="3" width="9.140625" style="7"/>
    <col min="4" max="4" width="13.140625" bestFit="1" customWidth="1"/>
    <col min="5" max="5" width="15.28515625" customWidth="1"/>
    <col min="6" max="6" width="14.7109375" customWidth="1"/>
    <col min="7" max="7" width="13.7109375" customWidth="1"/>
    <col min="8" max="8" width="10.85546875" bestFit="1" customWidth="1"/>
    <col min="9" max="9" width="10.85546875" customWidth="1"/>
    <col min="10" max="10" width="9.140625" style="5"/>
    <col min="11" max="11" width="13.140625" style="5" customWidth="1"/>
    <col min="12" max="12" width="13.140625" style="26" hidden="1" customWidth="1"/>
    <col min="13" max="13" width="14.140625" style="5" customWidth="1"/>
    <col min="14" max="14" width="14.140625" style="19" hidden="1" customWidth="1"/>
    <col min="20" max="20" width="12.85546875" customWidth="1"/>
  </cols>
  <sheetData>
    <row r="1" spans="2:20" x14ac:dyDescent="0.25">
      <c r="D1" s="10" t="s">
        <v>18</v>
      </c>
      <c r="E1" s="10"/>
      <c r="F1" s="10"/>
      <c r="G1" s="10"/>
      <c r="H1" s="10"/>
      <c r="I1" s="10"/>
      <c r="J1" s="11" t="s">
        <v>19</v>
      </c>
      <c r="K1" s="11"/>
      <c r="L1" s="23"/>
      <c r="O1" s="10" t="s">
        <v>20</v>
      </c>
      <c r="P1" s="10"/>
      <c r="Q1" s="10"/>
      <c r="R1" s="10"/>
    </row>
    <row r="2" spans="2:20" ht="75" x14ac:dyDescent="0.25">
      <c r="B2" s="7" t="s">
        <v>0</v>
      </c>
      <c r="C2" s="6" t="s">
        <v>1</v>
      </c>
      <c r="D2" s="1" t="s">
        <v>12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13</v>
      </c>
      <c r="J2" s="9" t="s">
        <v>9</v>
      </c>
      <c r="K2" s="9" t="s">
        <v>10</v>
      </c>
      <c r="L2" s="24" t="s">
        <v>21</v>
      </c>
      <c r="M2" s="9" t="s">
        <v>11</v>
      </c>
      <c r="N2" s="20" t="s">
        <v>22</v>
      </c>
      <c r="O2" s="1" t="s">
        <v>14</v>
      </c>
      <c r="P2" s="1" t="s">
        <v>15</v>
      </c>
      <c r="Q2" s="1" t="s">
        <v>16</v>
      </c>
      <c r="R2" s="1" t="s">
        <v>17</v>
      </c>
      <c r="T2" s="28" t="s">
        <v>25</v>
      </c>
    </row>
    <row r="3" spans="2:20" x14ac:dyDescent="0.25">
      <c r="B3" s="8">
        <v>1</v>
      </c>
      <c r="C3" s="12" t="s">
        <v>2</v>
      </c>
      <c r="D3" s="2">
        <v>10773.26</v>
      </c>
      <c r="E3" s="13">
        <v>1277.54</v>
      </c>
      <c r="F3" s="13">
        <v>3221.45</v>
      </c>
      <c r="G3" s="13">
        <f>SUM(D3*0.2)</f>
        <v>2154.652</v>
      </c>
      <c r="H3" s="13">
        <v>846.15</v>
      </c>
      <c r="I3" s="13">
        <v>0</v>
      </c>
      <c r="J3" s="13">
        <f>SUM(D3+G3+H3)*13%</f>
        <v>1790.62806</v>
      </c>
      <c r="K3" s="13">
        <f>SUM(D3+I3)*8%</f>
        <v>861.86080000000004</v>
      </c>
      <c r="L3" s="18">
        <v>0.08</v>
      </c>
      <c r="M3" s="13">
        <f>SUM(D3+I3)*6.5%</f>
        <v>700.26190000000008</v>
      </c>
      <c r="N3" s="21">
        <v>6.5000000000000002E-2</v>
      </c>
      <c r="O3" s="15"/>
      <c r="P3" s="15"/>
      <c r="Q3" s="15"/>
      <c r="R3" s="15"/>
    </row>
    <row r="4" spans="2:20" x14ac:dyDescent="0.25">
      <c r="B4" s="8">
        <v>2</v>
      </c>
      <c r="C4" s="8" t="s">
        <v>2</v>
      </c>
      <c r="D4" s="2">
        <v>6788.73</v>
      </c>
      <c r="E4" s="16"/>
      <c r="F4" s="16"/>
      <c r="G4" s="16"/>
      <c r="H4" s="16"/>
      <c r="I4" s="16"/>
      <c r="J4" s="16"/>
      <c r="K4" s="13">
        <f t="shared" ref="K4:K19" si="0">SUM(D4+I4)*8%</f>
        <v>543.09839999999997</v>
      </c>
      <c r="L4" s="18">
        <v>0.08</v>
      </c>
      <c r="M4" s="13">
        <f t="shared" ref="M4:M19" si="1">SUM(D4+I4)*6.5%</f>
        <v>441.26745</v>
      </c>
      <c r="N4" s="21">
        <v>6.5000000000000002E-2</v>
      </c>
      <c r="O4" s="15"/>
      <c r="P4" s="15"/>
      <c r="Q4" s="14">
        <v>180</v>
      </c>
      <c r="R4" s="14">
        <v>585</v>
      </c>
    </row>
    <row r="5" spans="2:20" x14ac:dyDescent="0.25">
      <c r="B5" s="8">
        <v>3</v>
      </c>
      <c r="C5" s="8" t="s">
        <v>2</v>
      </c>
      <c r="D5" s="3">
        <v>5746.54</v>
      </c>
      <c r="E5" s="16"/>
      <c r="F5" s="16"/>
      <c r="G5" s="16"/>
      <c r="H5" s="16"/>
      <c r="I5" s="16"/>
      <c r="J5" s="16"/>
      <c r="K5" s="13">
        <f>SUM(D5+I5)*13%</f>
        <v>747.05020000000002</v>
      </c>
      <c r="L5" s="18">
        <v>0.13</v>
      </c>
      <c r="M5" s="13">
        <f t="shared" si="1"/>
        <v>373.52510000000001</v>
      </c>
      <c r="N5" s="21">
        <v>6.5000000000000002E-2</v>
      </c>
      <c r="O5" s="15"/>
      <c r="P5" s="15"/>
      <c r="Q5" s="14">
        <v>135</v>
      </c>
      <c r="R5" s="14">
        <v>428</v>
      </c>
    </row>
    <row r="6" spans="2:20" x14ac:dyDescent="0.25">
      <c r="B6" s="8">
        <v>4</v>
      </c>
      <c r="C6" s="8" t="s">
        <v>2</v>
      </c>
      <c r="D6" s="2">
        <v>7920.19</v>
      </c>
      <c r="E6" s="16"/>
      <c r="F6" s="16"/>
      <c r="G6" s="16"/>
      <c r="H6" s="16"/>
      <c r="I6" s="16"/>
      <c r="J6" s="16"/>
      <c r="K6" s="13">
        <v>945</v>
      </c>
      <c r="L6" s="27">
        <v>945</v>
      </c>
      <c r="M6" s="13">
        <f t="shared" si="1"/>
        <v>514.81235000000004</v>
      </c>
      <c r="N6" s="21">
        <v>6.5000000000000002E-2</v>
      </c>
      <c r="O6" s="15"/>
      <c r="P6" s="15"/>
      <c r="Q6" s="14">
        <v>180</v>
      </c>
      <c r="R6" s="14">
        <v>585</v>
      </c>
    </row>
    <row r="7" spans="2:20" x14ac:dyDescent="0.25">
      <c r="B7" s="8">
        <v>5</v>
      </c>
      <c r="C7" s="8" t="s">
        <v>2</v>
      </c>
      <c r="D7" s="3">
        <v>4235.6000000000004</v>
      </c>
      <c r="E7" s="16"/>
      <c r="F7" s="16"/>
      <c r="G7" s="16"/>
      <c r="H7" s="16"/>
      <c r="I7" s="16"/>
      <c r="J7" s="16"/>
      <c r="K7" s="13">
        <f t="shared" si="0"/>
        <v>338.84800000000001</v>
      </c>
      <c r="L7" s="18">
        <v>0.08</v>
      </c>
      <c r="M7" s="13">
        <f t="shared" si="1"/>
        <v>275.31400000000002</v>
      </c>
      <c r="N7" s="21">
        <v>6.5000000000000002E-2</v>
      </c>
      <c r="O7" s="14">
        <v>90</v>
      </c>
      <c r="P7" s="14">
        <v>54</v>
      </c>
      <c r="Q7" s="15"/>
      <c r="R7" s="15"/>
    </row>
    <row r="8" spans="2:20" x14ac:dyDescent="0.25">
      <c r="B8" s="8">
        <v>6</v>
      </c>
      <c r="C8" s="8" t="s">
        <v>2</v>
      </c>
      <c r="D8" s="3">
        <v>7342.01</v>
      </c>
      <c r="E8" s="16"/>
      <c r="F8" s="16"/>
      <c r="G8" s="16"/>
      <c r="H8" s="16"/>
      <c r="I8" s="16"/>
      <c r="J8" s="16"/>
      <c r="K8" s="13">
        <f>SUM(D8+I8)*15%</f>
        <v>1101.3015</v>
      </c>
      <c r="L8" s="18">
        <v>0.15</v>
      </c>
      <c r="M8" s="13">
        <f t="shared" si="1"/>
        <v>477.23065000000003</v>
      </c>
      <c r="N8" s="21">
        <v>6.5000000000000002E-2</v>
      </c>
      <c r="O8" s="15"/>
      <c r="P8" s="15"/>
      <c r="Q8" s="14">
        <v>180</v>
      </c>
      <c r="R8" s="14">
        <v>585</v>
      </c>
    </row>
    <row r="9" spans="2:20" x14ac:dyDescent="0.25">
      <c r="B9" s="8">
        <v>7</v>
      </c>
      <c r="C9" s="8" t="s">
        <v>2</v>
      </c>
      <c r="D9" s="3">
        <v>6025.5</v>
      </c>
      <c r="E9" s="16"/>
      <c r="F9" s="16"/>
      <c r="G9" s="16"/>
      <c r="H9" s="16"/>
      <c r="I9" s="16"/>
      <c r="J9" s="16"/>
      <c r="K9" s="13">
        <f>SUM(D9+I9)*15%</f>
        <v>903.82499999999993</v>
      </c>
      <c r="L9" s="18">
        <v>0.15</v>
      </c>
      <c r="M9" s="13">
        <f t="shared" si="1"/>
        <v>391.65750000000003</v>
      </c>
      <c r="N9" s="21">
        <v>6.5000000000000002E-2</v>
      </c>
      <c r="O9" s="15"/>
      <c r="P9" s="15"/>
      <c r="Q9" s="14">
        <v>150</v>
      </c>
      <c r="R9" s="14">
        <v>550</v>
      </c>
    </row>
    <row r="10" spans="2:20" x14ac:dyDescent="0.25">
      <c r="B10" s="8">
        <v>8</v>
      </c>
      <c r="C10" s="8" t="s">
        <v>2</v>
      </c>
      <c r="D10" s="3">
        <v>6527.63</v>
      </c>
      <c r="E10" s="16"/>
      <c r="F10" s="16"/>
      <c r="G10" s="16"/>
      <c r="H10" s="16"/>
      <c r="I10" s="16"/>
      <c r="J10" s="16"/>
      <c r="K10" s="13">
        <f t="shared" si="0"/>
        <v>522.21040000000005</v>
      </c>
      <c r="L10" s="18">
        <v>0.08</v>
      </c>
      <c r="M10" s="13">
        <f t="shared" si="1"/>
        <v>424.29595</v>
      </c>
      <c r="N10" s="21">
        <v>6.5000000000000002E-2</v>
      </c>
      <c r="O10" s="15"/>
      <c r="P10" s="15"/>
      <c r="Q10" s="14">
        <v>180</v>
      </c>
      <c r="R10" s="14">
        <v>585</v>
      </c>
    </row>
    <row r="11" spans="2:20" x14ac:dyDescent="0.25">
      <c r="B11" s="8">
        <v>9</v>
      </c>
      <c r="C11" s="8" t="s">
        <v>2</v>
      </c>
      <c r="D11" s="3">
        <v>4550</v>
      </c>
      <c r="E11" s="16"/>
      <c r="F11" s="16"/>
      <c r="G11" s="16"/>
      <c r="H11" s="16"/>
      <c r="I11" s="16"/>
      <c r="J11" s="16"/>
      <c r="K11" s="13">
        <f t="shared" si="0"/>
        <v>364</v>
      </c>
      <c r="L11" s="18">
        <v>0.08</v>
      </c>
      <c r="M11" s="13">
        <f t="shared" si="1"/>
        <v>295.75</v>
      </c>
      <c r="N11" s="21">
        <v>6.5000000000000002E-2</v>
      </c>
      <c r="O11" s="15"/>
      <c r="P11" s="14">
        <v>90</v>
      </c>
      <c r="Q11" s="15"/>
      <c r="R11" s="15"/>
    </row>
    <row r="12" spans="2:20" x14ac:dyDescent="0.25">
      <c r="B12" s="8">
        <v>10</v>
      </c>
      <c r="C12" s="8" t="s">
        <v>2</v>
      </c>
      <c r="D12" s="3">
        <v>2737.27</v>
      </c>
      <c r="E12" s="16"/>
      <c r="F12" s="16"/>
      <c r="G12" s="16"/>
      <c r="H12" s="16"/>
      <c r="I12" s="16"/>
      <c r="J12" s="17"/>
      <c r="K12" s="13">
        <v>225</v>
      </c>
      <c r="L12" s="27">
        <v>225</v>
      </c>
      <c r="M12" s="13">
        <f t="shared" si="1"/>
        <v>177.92255</v>
      </c>
      <c r="N12" s="21">
        <v>6.5000000000000002E-2</v>
      </c>
      <c r="O12" s="15"/>
      <c r="P12" s="14">
        <v>85</v>
      </c>
      <c r="Q12" s="15"/>
      <c r="R12" s="15"/>
    </row>
    <row r="13" spans="2:20" x14ac:dyDescent="0.25">
      <c r="B13" s="8">
        <v>11</v>
      </c>
      <c r="C13" s="8" t="s">
        <v>3</v>
      </c>
      <c r="D13" s="3">
        <v>5525.52</v>
      </c>
      <c r="E13" s="16"/>
      <c r="F13" s="16"/>
      <c r="G13" s="16"/>
      <c r="H13" s="16"/>
      <c r="I13" s="16"/>
      <c r="J13" s="16"/>
      <c r="K13" s="13">
        <f>SUM(D13+I13)*15%</f>
        <v>828.82800000000009</v>
      </c>
      <c r="L13" s="18">
        <v>0.15</v>
      </c>
      <c r="M13" s="13">
        <f t="shared" si="1"/>
        <v>359.15880000000004</v>
      </c>
      <c r="N13" s="21">
        <v>6.5000000000000002E-2</v>
      </c>
      <c r="O13" s="15"/>
      <c r="P13" s="15"/>
      <c r="Q13" s="14">
        <v>150</v>
      </c>
      <c r="R13" s="14">
        <v>475</v>
      </c>
    </row>
    <row r="14" spans="2:20" x14ac:dyDescent="0.25">
      <c r="B14" s="8">
        <v>12</v>
      </c>
      <c r="C14" s="8" t="s">
        <v>3</v>
      </c>
      <c r="D14" s="3">
        <v>2704</v>
      </c>
      <c r="E14" s="16"/>
      <c r="F14" s="16"/>
      <c r="G14" s="16"/>
      <c r="H14" s="16"/>
      <c r="I14" s="16"/>
      <c r="J14" s="16"/>
      <c r="K14" s="13">
        <f>SUM(D14+I14)*5%</f>
        <v>135.20000000000002</v>
      </c>
      <c r="L14" s="18">
        <v>0.05</v>
      </c>
      <c r="M14" s="13">
        <f>SUM(D14+I14)*5%</f>
        <v>135.20000000000002</v>
      </c>
      <c r="N14" s="21">
        <v>0.05</v>
      </c>
      <c r="O14" s="15"/>
      <c r="P14" s="14">
        <v>100</v>
      </c>
      <c r="Q14" s="15"/>
      <c r="R14" s="15"/>
    </row>
    <row r="15" spans="2:20" x14ac:dyDescent="0.25">
      <c r="B15" s="8">
        <v>13</v>
      </c>
      <c r="C15" s="8" t="s">
        <v>3</v>
      </c>
      <c r="D15" s="3">
        <v>4508.3999999999996</v>
      </c>
      <c r="E15" s="16"/>
      <c r="F15" s="16"/>
      <c r="G15" s="16"/>
      <c r="H15" s="16"/>
      <c r="I15" s="16"/>
      <c r="J15" s="16"/>
      <c r="K15" s="13">
        <v>420</v>
      </c>
      <c r="L15" s="18" t="s">
        <v>23</v>
      </c>
      <c r="M15" s="13">
        <f t="shared" si="1"/>
        <v>293.04599999999999</v>
      </c>
      <c r="N15" s="21">
        <v>6.5000000000000002E-2</v>
      </c>
      <c r="O15" s="15"/>
      <c r="P15" s="14">
        <v>100</v>
      </c>
      <c r="Q15" s="15"/>
      <c r="R15" s="15"/>
    </row>
    <row r="16" spans="2:20" x14ac:dyDescent="0.25">
      <c r="B16" s="8">
        <v>14</v>
      </c>
      <c r="C16" s="8" t="s">
        <v>3</v>
      </c>
      <c r="D16" s="3">
        <v>7252.92</v>
      </c>
      <c r="E16" s="16"/>
      <c r="F16" s="16"/>
      <c r="G16" s="16"/>
      <c r="H16" s="16"/>
      <c r="I16" s="16"/>
      <c r="J16" s="16"/>
      <c r="K16" s="13">
        <f>SUM(D16+I16)*10%</f>
        <v>725.29200000000003</v>
      </c>
      <c r="L16" s="18">
        <v>0.1</v>
      </c>
      <c r="M16" s="13">
        <f t="shared" si="1"/>
        <v>471.43980000000005</v>
      </c>
      <c r="N16" s="21">
        <v>6.5000000000000002E-2</v>
      </c>
      <c r="O16" s="15"/>
      <c r="P16" s="15"/>
      <c r="Q16" s="14">
        <v>200</v>
      </c>
      <c r="R16" s="14">
        <v>650</v>
      </c>
    </row>
    <row r="17" spans="2:18" x14ac:dyDescent="0.25">
      <c r="B17" s="8">
        <v>15</v>
      </c>
      <c r="C17" s="8" t="s">
        <v>3</v>
      </c>
      <c r="D17" s="4">
        <v>5525.52</v>
      </c>
      <c r="E17" s="16"/>
      <c r="F17" s="16"/>
      <c r="G17" s="16"/>
      <c r="H17" s="16"/>
      <c r="I17" s="16"/>
      <c r="J17" s="16"/>
      <c r="K17" s="13">
        <f t="shared" si="0"/>
        <v>442.04160000000002</v>
      </c>
      <c r="L17" s="18">
        <v>0.08</v>
      </c>
      <c r="M17" s="13">
        <f t="shared" si="1"/>
        <v>359.15880000000004</v>
      </c>
      <c r="N17" s="21">
        <v>6.5000000000000002E-2</v>
      </c>
      <c r="O17" s="15"/>
      <c r="P17" s="15"/>
      <c r="Q17" s="14">
        <v>150</v>
      </c>
      <c r="R17" s="14">
        <v>475</v>
      </c>
    </row>
    <row r="18" spans="2:18" x14ac:dyDescent="0.25">
      <c r="B18" s="8">
        <v>16</v>
      </c>
      <c r="C18" s="8" t="s">
        <v>3</v>
      </c>
      <c r="D18" s="3">
        <v>4780.2299999999996</v>
      </c>
      <c r="E18" s="16"/>
      <c r="F18" s="16"/>
      <c r="G18" s="16"/>
      <c r="H18" s="16"/>
      <c r="I18" s="16"/>
      <c r="J18" s="16"/>
      <c r="K18" s="13">
        <f>SUM(D18+I18)*15%</f>
        <v>717.03449999999987</v>
      </c>
      <c r="L18" s="18">
        <v>0.15</v>
      </c>
      <c r="M18" s="13">
        <f t="shared" si="1"/>
        <v>310.71494999999999</v>
      </c>
      <c r="N18" s="21">
        <v>6.5000000000000002E-2</v>
      </c>
      <c r="O18" s="15"/>
      <c r="P18" s="15"/>
      <c r="Q18" s="14">
        <v>100</v>
      </c>
      <c r="R18" s="14">
        <v>300</v>
      </c>
    </row>
    <row r="19" spans="2:18" x14ac:dyDescent="0.25">
      <c r="B19" s="8">
        <v>17</v>
      </c>
      <c r="C19" s="8" t="s">
        <v>3</v>
      </c>
      <c r="D19" s="3">
        <v>2678</v>
      </c>
      <c r="E19" s="16"/>
      <c r="F19" s="16"/>
      <c r="G19" s="16"/>
      <c r="H19" s="16"/>
      <c r="I19" s="16"/>
      <c r="J19" s="16"/>
      <c r="K19" s="13">
        <v>375</v>
      </c>
      <c r="L19" s="18" t="s">
        <v>24</v>
      </c>
      <c r="M19" s="13">
        <f t="shared" si="1"/>
        <v>174.07</v>
      </c>
      <c r="N19" s="21">
        <v>6.5000000000000002E-2</v>
      </c>
      <c r="O19" s="14">
        <v>80</v>
      </c>
      <c r="P19" s="15"/>
      <c r="Q19" s="15"/>
      <c r="R19" s="15"/>
    </row>
    <row r="20" spans="2:18" x14ac:dyDescent="0.25">
      <c r="B20" s="8">
        <v>18</v>
      </c>
      <c r="C20" s="8" t="s">
        <v>4</v>
      </c>
      <c r="D20" s="3">
        <v>1712533.33</v>
      </c>
      <c r="E20" s="16"/>
      <c r="F20" s="16"/>
      <c r="G20" s="16"/>
      <c r="H20" s="16"/>
      <c r="I20" s="16"/>
      <c r="J20" s="16"/>
      <c r="K20" s="16"/>
      <c r="L20" s="25"/>
      <c r="M20" s="16"/>
      <c r="N20" s="22"/>
      <c r="O20" s="15"/>
      <c r="P20" s="14">
        <v>50000</v>
      </c>
      <c r="Q20" s="15"/>
      <c r="R20" s="15"/>
    </row>
  </sheetData>
  <mergeCells count="3">
    <mergeCell ref="D1:I1"/>
    <mergeCell ref="J1:K1"/>
    <mergeCell ref="O1:R1"/>
  </mergeCells>
  <conditionalFormatting sqref="C20 B3:C3 C8 B5 B7 B9 B11 B13 B15 B17 B19">
    <cfRule type="duplicateValues" dxfId="3" priority="4"/>
  </conditionalFormatting>
  <conditionalFormatting sqref="D4:D6 D12">
    <cfRule type="containsBlanks" dxfId="2" priority="3">
      <formula>LEN(TRIM(D4))=0</formula>
    </cfRule>
  </conditionalFormatting>
  <conditionalFormatting sqref="D19">
    <cfRule type="containsBlanks" dxfId="1" priority="1">
      <formula>LEN(TRIM(D19))=0</formula>
    </cfRule>
  </conditionalFormatting>
  <conditionalFormatting sqref="D19 D4:D6 D12">
    <cfRule type="notContainsBlanks" dxfId="0" priority="2">
      <formula>LEN(TRIM(D4))&gt;0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Ferguson</dc:creator>
  <cp:lastModifiedBy>Sheila Ferguson</cp:lastModifiedBy>
  <dcterms:created xsi:type="dcterms:W3CDTF">2025-08-18T16:52:04Z</dcterms:created>
  <dcterms:modified xsi:type="dcterms:W3CDTF">2025-08-18T17:51:37Z</dcterms:modified>
</cp:coreProperties>
</file>